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Angel Tepeca\CT\CT-001\"/>
    </mc:Choice>
  </mc:AlternateContent>
  <xr:revisionPtr revIDLastSave="0" documentId="13_ncr:1000001_{70B0E582-6249-D944-9709-A91CD2AB5AAB}" xr6:coauthVersionLast="47" xr6:coauthVersionMax="47" xr10:uidLastSave="{00000000-0000-0000-0000-000000000000}"/>
  <bookViews>
    <workbookView xWindow="0" yWindow="0" windowWidth="20400" windowHeight="7650" activeTab="5" xr2:uid="{00000000-000D-0000-FFFF-FFFF00000000}"/>
  </bookViews>
  <sheets>
    <sheet name="IN" sheetId="1" r:id="rId1"/>
    <sheet name="OUT" sheetId="3" r:id="rId2"/>
    <sheet name="Hoja5" sheetId="11" state="hidden" r:id="rId3"/>
    <sheet name="REP" sheetId="5" r:id="rId4"/>
    <sheet name="INV." sheetId="6" r:id="rId5"/>
    <sheet name="Indicadores" sheetId="7" r:id="rId6"/>
  </sheets>
  <definedNames>
    <definedName name="_xlnm._FilterDatabase" localSheetId="0" hidden="1">IN!$B$5:$Y$139</definedName>
    <definedName name="_xlnm._FilterDatabase" localSheetId="1" hidden="1">OUT!$B$6:$X$167</definedName>
    <definedName name="_xlnm._FilterDatabase" localSheetId="3" hidden="1">REP!$B$5:$J$118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" i="5" l="1"/>
  <c r="F118" i="5"/>
  <c r="G118" i="5"/>
  <c r="H118" i="5"/>
  <c r="E117" i="5"/>
  <c r="F117" i="5"/>
  <c r="G117" i="5"/>
  <c r="H117" i="5"/>
  <c r="E116" i="5"/>
  <c r="F116" i="5"/>
  <c r="G116" i="5"/>
  <c r="H116" i="5"/>
  <c r="E115" i="5"/>
  <c r="F115" i="5"/>
  <c r="G115" i="5"/>
  <c r="H115" i="5"/>
  <c r="E114" i="5"/>
  <c r="F114" i="5"/>
  <c r="G114" i="5"/>
  <c r="H114" i="5"/>
  <c r="E113" i="5"/>
  <c r="F113" i="5"/>
  <c r="G113" i="5"/>
  <c r="H113" i="5"/>
  <c r="E112" i="5"/>
  <c r="F112" i="5"/>
  <c r="G112" i="5"/>
  <c r="H112" i="5"/>
  <c r="E111" i="5"/>
  <c r="F111" i="5"/>
  <c r="G111" i="5"/>
  <c r="H111" i="5"/>
  <c r="E110" i="5"/>
  <c r="F110" i="5"/>
  <c r="G110" i="5"/>
  <c r="H110" i="5"/>
  <c r="E109" i="5"/>
  <c r="F109" i="5"/>
  <c r="G109" i="5"/>
  <c r="H109" i="5"/>
  <c r="E108" i="5"/>
  <c r="F108" i="5"/>
  <c r="G108" i="5"/>
  <c r="H108" i="5"/>
  <c r="E107" i="5"/>
  <c r="F107" i="5"/>
  <c r="G107" i="5"/>
  <c r="H107" i="5"/>
  <c r="E106" i="5"/>
  <c r="F106" i="5"/>
  <c r="G106" i="5"/>
  <c r="H106" i="5"/>
  <c r="E105" i="5"/>
  <c r="F105" i="5"/>
  <c r="G105" i="5"/>
  <c r="H105" i="5"/>
  <c r="E104" i="5"/>
  <c r="F104" i="5"/>
  <c r="G104" i="5"/>
  <c r="H104" i="5"/>
  <c r="E103" i="5"/>
  <c r="F103" i="5"/>
  <c r="G103" i="5"/>
  <c r="H103" i="5"/>
  <c r="E102" i="5"/>
  <c r="F102" i="5"/>
  <c r="G102" i="5"/>
  <c r="H102" i="5"/>
  <c r="E101" i="5"/>
  <c r="F101" i="5"/>
  <c r="G101" i="5"/>
  <c r="H101" i="5"/>
  <c r="E100" i="5"/>
  <c r="F100" i="5"/>
  <c r="G100" i="5"/>
  <c r="H100" i="5"/>
  <c r="E99" i="5"/>
  <c r="F99" i="5"/>
  <c r="G99" i="5"/>
  <c r="H99" i="5"/>
  <c r="E98" i="5"/>
  <c r="F98" i="5"/>
  <c r="G98" i="5"/>
  <c r="H98" i="5"/>
  <c r="E97" i="5"/>
  <c r="F97" i="5"/>
  <c r="G97" i="5"/>
  <c r="H97" i="5"/>
  <c r="E96" i="5"/>
  <c r="F96" i="5"/>
  <c r="G96" i="5"/>
  <c r="H96" i="5"/>
  <c r="E95" i="5"/>
  <c r="F95" i="5"/>
  <c r="G95" i="5"/>
  <c r="H95" i="5"/>
  <c r="E94" i="5"/>
  <c r="F94" i="5"/>
  <c r="G94" i="5"/>
  <c r="H94" i="5"/>
  <c r="E93" i="5"/>
  <c r="F93" i="5"/>
  <c r="G93" i="5"/>
  <c r="H93" i="5"/>
  <c r="E92" i="5"/>
  <c r="F92" i="5"/>
  <c r="G92" i="5"/>
  <c r="H92" i="5"/>
  <c r="E91" i="5"/>
  <c r="F91" i="5"/>
  <c r="G91" i="5"/>
  <c r="H91" i="5"/>
  <c r="E90" i="5"/>
  <c r="F90" i="5"/>
  <c r="G90" i="5"/>
  <c r="H90" i="5"/>
  <c r="E89" i="5"/>
  <c r="F89" i="5"/>
  <c r="G89" i="5"/>
  <c r="H89" i="5"/>
  <c r="E88" i="5"/>
  <c r="F88" i="5"/>
  <c r="G88" i="5"/>
  <c r="H88" i="5"/>
  <c r="E87" i="5"/>
  <c r="F87" i="5"/>
  <c r="G87" i="5"/>
  <c r="H87" i="5"/>
  <c r="E86" i="5"/>
  <c r="F86" i="5"/>
  <c r="G86" i="5"/>
  <c r="H86" i="5"/>
  <c r="E85" i="5"/>
  <c r="F85" i="5"/>
  <c r="G85" i="5"/>
  <c r="H85" i="5"/>
  <c r="E84" i="5"/>
  <c r="F84" i="5"/>
  <c r="G84" i="5"/>
  <c r="H84" i="5"/>
  <c r="E83" i="5"/>
  <c r="F83" i="5"/>
  <c r="G83" i="5"/>
  <c r="H83" i="5"/>
  <c r="E82" i="5"/>
  <c r="F82" i="5"/>
  <c r="G82" i="5"/>
  <c r="H82" i="5"/>
  <c r="E81" i="5"/>
  <c r="F81" i="5"/>
  <c r="G81" i="5"/>
  <c r="H81" i="5"/>
  <c r="E80" i="5"/>
  <c r="F80" i="5"/>
  <c r="G80" i="5"/>
  <c r="H80" i="5"/>
  <c r="E79" i="5"/>
  <c r="F79" i="5"/>
  <c r="G79" i="5"/>
  <c r="H79" i="5"/>
  <c r="E78" i="5"/>
  <c r="F78" i="5"/>
  <c r="G78" i="5"/>
  <c r="H78" i="5"/>
  <c r="E77" i="5"/>
  <c r="F77" i="5"/>
  <c r="G77" i="5"/>
  <c r="H77" i="5"/>
  <c r="E76" i="5"/>
  <c r="F76" i="5"/>
  <c r="G76" i="5"/>
  <c r="H76" i="5"/>
  <c r="E75" i="5"/>
  <c r="F75" i="5"/>
  <c r="G75" i="5"/>
  <c r="H75" i="5"/>
  <c r="E74" i="5"/>
  <c r="F74" i="5"/>
  <c r="G74" i="5"/>
  <c r="H74" i="5"/>
  <c r="E73" i="5"/>
  <c r="F73" i="5"/>
  <c r="G73" i="5"/>
  <c r="H73" i="5"/>
  <c r="E72" i="5"/>
  <c r="F72" i="5"/>
  <c r="G72" i="5"/>
  <c r="H72" i="5"/>
  <c r="E71" i="5"/>
  <c r="F71" i="5"/>
  <c r="G71" i="5"/>
  <c r="H71" i="5"/>
  <c r="E70" i="5"/>
  <c r="F70" i="5"/>
  <c r="G70" i="5"/>
  <c r="H70" i="5"/>
  <c r="E69" i="5"/>
  <c r="F69" i="5"/>
  <c r="G69" i="5"/>
  <c r="H69" i="5"/>
  <c r="E68" i="5"/>
  <c r="F68" i="5"/>
  <c r="G68" i="5"/>
  <c r="H68" i="5"/>
  <c r="E67" i="5"/>
  <c r="F67" i="5"/>
  <c r="G67" i="5"/>
  <c r="H67" i="5"/>
  <c r="E66" i="5"/>
  <c r="F66" i="5"/>
  <c r="G66" i="5"/>
  <c r="H66" i="5"/>
  <c r="E65" i="5"/>
  <c r="F65" i="5"/>
  <c r="G65" i="5"/>
  <c r="H65" i="5"/>
  <c r="E64" i="5"/>
  <c r="F64" i="5"/>
  <c r="G64" i="5"/>
  <c r="H64" i="5"/>
  <c r="E63" i="5"/>
  <c r="F63" i="5"/>
  <c r="G63" i="5"/>
  <c r="H63" i="5"/>
  <c r="E62" i="5"/>
  <c r="F62" i="5"/>
  <c r="G62" i="5"/>
  <c r="H62" i="5"/>
  <c r="E61" i="5"/>
  <c r="F61" i="5"/>
  <c r="G61" i="5"/>
  <c r="H61" i="5"/>
  <c r="E60" i="5"/>
  <c r="F60" i="5"/>
  <c r="G60" i="5"/>
  <c r="H60" i="5"/>
  <c r="E59" i="5"/>
  <c r="F59" i="5"/>
  <c r="G59" i="5"/>
  <c r="H59" i="5"/>
  <c r="E58" i="5"/>
  <c r="F58" i="5"/>
  <c r="G58" i="5"/>
  <c r="H58" i="5"/>
  <c r="E57" i="5"/>
  <c r="F57" i="5"/>
  <c r="G57" i="5"/>
  <c r="H57" i="5"/>
  <c r="E56" i="5"/>
  <c r="F56" i="5"/>
  <c r="G56" i="5"/>
  <c r="H56" i="5"/>
  <c r="E55" i="5"/>
  <c r="F55" i="5"/>
  <c r="G55" i="5"/>
  <c r="H55" i="5"/>
  <c r="E54" i="5"/>
  <c r="F54" i="5"/>
  <c r="G54" i="5"/>
  <c r="H54" i="5"/>
  <c r="E53" i="5"/>
  <c r="F53" i="5"/>
  <c r="G53" i="5"/>
  <c r="H53" i="5"/>
  <c r="E52" i="5"/>
  <c r="F52" i="5"/>
  <c r="G52" i="5"/>
  <c r="H52" i="5"/>
  <c r="E51" i="5"/>
  <c r="F51" i="5"/>
  <c r="G51" i="5"/>
  <c r="H51" i="5"/>
  <c r="E50" i="5"/>
  <c r="F50" i="5"/>
  <c r="G50" i="5"/>
  <c r="H50" i="5"/>
  <c r="E49" i="5"/>
  <c r="F49" i="5"/>
  <c r="G49" i="5"/>
  <c r="H49" i="5"/>
  <c r="E48" i="5"/>
  <c r="F48" i="5"/>
  <c r="G48" i="5"/>
  <c r="H48" i="5"/>
  <c r="E47" i="5"/>
  <c r="F47" i="5"/>
  <c r="G47" i="5"/>
  <c r="H47" i="5"/>
  <c r="E46" i="5"/>
  <c r="F46" i="5"/>
  <c r="G46" i="5"/>
  <c r="H46" i="5"/>
  <c r="E45" i="5"/>
  <c r="F45" i="5"/>
  <c r="G45" i="5"/>
  <c r="H45" i="5"/>
  <c r="E44" i="5"/>
  <c r="F44" i="5"/>
  <c r="G44" i="5"/>
  <c r="H44" i="5"/>
  <c r="E43" i="5"/>
  <c r="F43" i="5"/>
  <c r="G43" i="5"/>
  <c r="H43" i="5"/>
  <c r="E42" i="5"/>
  <c r="F42" i="5"/>
  <c r="G42" i="5"/>
  <c r="H42" i="5"/>
  <c r="E41" i="5"/>
  <c r="F41" i="5"/>
  <c r="G41" i="5"/>
  <c r="H41" i="5"/>
  <c r="E40" i="5"/>
  <c r="F40" i="5"/>
  <c r="G40" i="5"/>
  <c r="H40" i="5"/>
  <c r="E39" i="5"/>
  <c r="F39" i="5"/>
  <c r="G39" i="5"/>
  <c r="H39" i="5"/>
  <c r="E38" i="5"/>
  <c r="F38" i="5"/>
  <c r="G38" i="5"/>
  <c r="H38" i="5"/>
  <c r="E37" i="5"/>
  <c r="F37" i="5"/>
  <c r="G37" i="5"/>
  <c r="H37" i="5"/>
  <c r="E36" i="5"/>
  <c r="F36" i="5"/>
  <c r="G36" i="5"/>
  <c r="H36" i="5"/>
  <c r="E35" i="5"/>
  <c r="F35" i="5"/>
  <c r="G35" i="5"/>
  <c r="H35" i="5"/>
  <c r="E34" i="5"/>
  <c r="F34" i="5"/>
  <c r="G34" i="5"/>
  <c r="H34" i="5"/>
  <c r="E33" i="5"/>
  <c r="F33" i="5"/>
  <c r="G33" i="5"/>
  <c r="H33" i="5"/>
  <c r="E32" i="5"/>
  <c r="F32" i="5"/>
  <c r="G32" i="5"/>
  <c r="H32" i="5"/>
  <c r="E31" i="5"/>
  <c r="F31" i="5"/>
  <c r="G31" i="5"/>
  <c r="H31" i="5"/>
  <c r="E30" i="5"/>
  <c r="F30" i="5"/>
  <c r="G30" i="5"/>
  <c r="H30" i="5"/>
  <c r="E29" i="5"/>
  <c r="F29" i="5"/>
  <c r="G29" i="5"/>
  <c r="H29" i="5"/>
  <c r="E28" i="5"/>
  <c r="F28" i="5"/>
  <c r="G28" i="5"/>
  <c r="H28" i="5"/>
  <c r="E27" i="5"/>
  <c r="F27" i="5"/>
  <c r="G27" i="5"/>
  <c r="H27" i="5"/>
  <c r="E26" i="5"/>
  <c r="F26" i="5"/>
  <c r="G26" i="5"/>
  <c r="H26" i="5"/>
  <c r="E25" i="5"/>
  <c r="F25" i="5"/>
  <c r="G25" i="5"/>
  <c r="H25" i="5"/>
  <c r="E24" i="5"/>
  <c r="F24" i="5"/>
  <c r="G24" i="5"/>
  <c r="H24" i="5"/>
  <c r="E23" i="5"/>
  <c r="F23" i="5"/>
  <c r="G23" i="5"/>
  <c r="H23" i="5"/>
  <c r="E22" i="5"/>
  <c r="F22" i="5"/>
  <c r="G22" i="5"/>
  <c r="H22" i="5"/>
  <c r="E21" i="5"/>
  <c r="F21" i="5"/>
  <c r="G21" i="5"/>
  <c r="H21" i="5"/>
  <c r="E20" i="5"/>
  <c r="F20" i="5"/>
  <c r="G20" i="5"/>
  <c r="H20" i="5"/>
  <c r="E19" i="5"/>
  <c r="F19" i="5"/>
  <c r="G19" i="5"/>
  <c r="H19" i="5"/>
  <c r="E18" i="5"/>
  <c r="F18" i="5"/>
  <c r="G18" i="5"/>
  <c r="H18" i="5"/>
  <c r="E17" i="5"/>
  <c r="F17" i="5"/>
  <c r="G17" i="5"/>
  <c r="H17" i="5"/>
  <c r="E16" i="5"/>
  <c r="F16" i="5"/>
  <c r="G16" i="5"/>
  <c r="H16" i="5"/>
  <c r="E15" i="5"/>
  <c r="F15" i="5"/>
  <c r="G15" i="5"/>
  <c r="H15" i="5"/>
  <c r="E14" i="5"/>
  <c r="F14" i="5"/>
  <c r="G14" i="5"/>
  <c r="H14" i="5"/>
  <c r="E13" i="5"/>
  <c r="F13" i="5"/>
  <c r="G13" i="5"/>
  <c r="H13" i="5"/>
  <c r="E12" i="5"/>
  <c r="F12" i="5"/>
  <c r="G12" i="5"/>
  <c r="H12" i="5"/>
  <c r="E11" i="5"/>
  <c r="F11" i="5"/>
  <c r="G11" i="5"/>
  <c r="H11" i="5"/>
  <c r="E10" i="5"/>
  <c r="F10" i="5"/>
  <c r="G10" i="5"/>
  <c r="H10" i="5"/>
  <c r="E9" i="5"/>
  <c r="F9" i="5"/>
  <c r="G9" i="5"/>
  <c r="H9" i="5"/>
  <c r="E8" i="5"/>
  <c r="F8" i="5"/>
  <c r="G8" i="5"/>
  <c r="H8" i="5"/>
  <c r="E7" i="5"/>
  <c r="F7" i="5"/>
  <c r="G7" i="5"/>
  <c r="H7" i="5"/>
  <c r="E6" i="5"/>
  <c r="F6" i="5"/>
  <c r="G6" i="5"/>
  <c r="H6" i="5"/>
</calcChain>
</file>

<file path=xl/sharedStrings.xml><?xml version="1.0" encoding="utf-8"?>
<sst xmlns="http://schemas.openxmlformats.org/spreadsheetml/2006/main" count="5555" uniqueCount="1270">
  <si>
    <t>#</t>
  </si>
  <si>
    <t>ORIGEN</t>
  </si>
  <si>
    <t>FECHA</t>
  </si>
  <si>
    <t>P/N</t>
  </si>
  <si>
    <t>DESCRIPCION</t>
  </si>
  <si>
    <t>CANT</t>
  </si>
  <si>
    <t>UND</t>
  </si>
  <si>
    <t>MARCA</t>
  </si>
  <si>
    <t>MODELO</t>
  </si>
  <si>
    <t>S/N</t>
  </si>
  <si>
    <t>CONDICION</t>
  </si>
  <si>
    <t>EQUIPO</t>
  </si>
  <si>
    <t>NRO. REPORT</t>
  </si>
  <si>
    <t>USO</t>
  </si>
  <si>
    <t>TIEMPO DE PARADA</t>
  </si>
  <si>
    <t>ENTRADA DE MATERIALES CT</t>
  </si>
  <si>
    <t>MANTENIMIENTOS EJECUTADOS CT</t>
  </si>
  <si>
    <t>DESCRIPCION DE INSUMOS</t>
  </si>
  <si>
    <t>TIPO DE MTTO</t>
  </si>
  <si>
    <t>INICIO</t>
  </si>
  <si>
    <t>FINAL</t>
  </si>
  <si>
    <t>UNIDAD</t>
  </si>
  <si>
    <t>HORAS T</t>
  </si>
  <si>
    <t>CT</t>
  </si>
  <si>
    <t>CAUSA O FALLA</t>
  </si>
  <si>
    <t>DESCRIPCION DE ACTIVIDAD</t>
  </si>
  <si>
    <t>MTTO</t>
  </si>
  <si>
    <t>OBSERVACIONES</t>
  </si>
  <si>
    <t>MATERIALES</t>
  </si>
  <si>
    <t>NRO. TRANS. ALM</t>
  </si>
  <si>
    <t>HORA</t>
  </si>
  <si>
    <t>O/C</t>
  </si>
  <si>
    <t>TRANSF.</t>
  </si>
  <si>
    <t>PROPIEDAD DE</t>
  </si>
  <si>
    <t>SEMANA</t>
  </si>
  <si>
    <t>MES</t>
  </si>
  <si>
    <t>NRO. SIM</t>
  </si>
  <si>
    <t>CODIGO TEPECA</t>
  </si>
  <si>
    <t>SERIAL</t>
  </si>
  <si>
    <t>UBICACIÓN</t>
  </si>
  <si>
    <t>UM</t>
  </si>
  <si>
    <t>RECIBIDO POR:</t>
  </si>
  <si>
    <t>GERENCIA</t>
  </si>
  <si>
    <t>DPTO.SOLICITANTE</t>
  </si>
  <si>
    <t xml:space="preserve">UNIDAD </t>
  </si>
  <si>
    <t>DESTINO</t>
  </si>
  <si>
    <t>N/A</t>
  </si>
  <si>
    <t>NOTA DE ENTREGA #0017</t>
  </si>
  <si>
    <t>TEPECA</t>
  </si>
  <si>
    <t>CPVEN</t>
  </si>
  <si>
    <t>29/08/2022</t>
  </si>
  <si>
    <t>AGOSTO</t>
  </si>
  <si>
    <t>HERRAMIENTA SAND VAC</t>
  </si>
  <si>
    <t>ALM PPAL</t>
  </si>
  <si>
    <t>JGO</t>
  </si>
  <si>
    <t>NUEVO</t>
  </si>
  <si>
    <t>ANGEL S</t>
  </si>
  <si>
    <t>ADMINISTRACION</t>
  </si>
  <si>
    <t>COILED TUBING</t>
  </si>
  <si>
    <t>RECEPCION DE HERRAMIENTA Y COMPONENTES ASOCIADOS A EQUIPO COILED TUBING PROVENIENTE DE PROVEEDOR EXTERNO CPVEN</t>
  </si>
  <si>
    <t>SAN ANTONIO INTERNATIONAL BASE-SAN JOSE DE GUANIPA</t>
  </si>
  <si>
    <t>NOTA DE ENTREGA #0018</t>
  </si>
  <si>
    <t>DESIOMETERS MECANICOS</t>
  </si>
  <si>
    <t>LLAVE DE FRICCION 2,5</t>
  </si>
  <si>
    <t>PZA</t>
  </si>
  <si>
    <t>DEV-2022-00135</t>
  </si>
  <si>
    <t>PETROALIANZA</t>
  </si>
  <si>
    <t>N/P</t>
  </si>
  <si>
    <t xml:space="preserve">FLANGE 4-1/16" CIEGO </t>
  </si>
  <si>
    <t>GALPON 2</t>
  </si>
  <si>
    <t>RAFAEL B</t>
  </si>
  <si>
    <t>RETORNO DE MATERIAL POR PARTE DE EMPRESA PETROALIANZA. DONDE PERMANECIA EN CALIDAD DE PRESTAMO PARA PRUEBA DE BOP</t>
  </si>
  <si>
    <t>ESPARRAGOS DE 1"</t>
  </si>
  <si>
    <t>TUERCA PARA ESPARRAGO 1"</t>
  </si>
  <si>
    <t>NOTA DE ENTREGA #0020</t>
  </si>
  <si>
    <t>TORNO MOLINA</t>
  </si>
  <si>
    <t>01/09/2022</t>
  </si>
  <si>
    <t>SEPT</t>
  </si>
  <si>
    <t>TAPA DEL FLUID END 3-1/2" INCLUYE: JGO DE O-RING Y SEPARADOR DE TEFLON</t>
  </si>
  <si>
    <t>ALMPPAL</t>
  </si>
  <si>
    <t>FABRICADO</t>
  </si>
  <si>
    <t>ADMINISTACION</t>
  </si>
  <si>
    <t>RECEPCION DE MATERIALES EN ALMACEN Y POSTERIOR ENTREGA A PERSONAL DE COILED TUBING PARA REPARACION EN BOMBA DE LODO DEL EQUIPO</t>
  </si>
  <si>
    <t>TAPA DEL FLUID END 3" INCLUYE: JGO DE O-RING Y SEPARADOR DE TEFLON</t>
  </si>
  <si>
    <t>AL--2022-03323</t>
  </si>
  <si>
    <t>13/09/2022</t>
  </si>
  <si>
    <t>MO-2022-473</t>
  </si>
  <si>
    <t>BOMBA DE AGUA DE CAMION COILED TUBING P/N: 23522721, P/N: 8922383</t>
  </si>
  <si>
    <t>4260</t>
  </si>
  <si>
    <t>REPARADO</t>
  </si>
  <si>
    <t>RECEPCION DE MATERIAL PARA ASIGNACION A EQUIPO COILED TUBING UBICADO EN BASE SAI</t>
  </si>
  <si>
    <t>AL--2022-03409</t>
  </si>
  <si>
    <t>21/09/2022</t>
  </si>
  <si>
    <t>1.004.0014.0051</t>
  </si>
  <si>
    <t>TENSOR P / CADENA (PERRO) 3/8"-1/2" TIPO RACHET INCLUYE CERTIFICADOS DE CALIDAD</t>
  </si>
  <si>
    <t>JOSEPTT M</t>
  </si>
  <si>
    <t>RECEPCION DE MATERIALES ASIGNADOS A EQUIPO COILED TUBING UBICADO EN BASE SAI</t>
  </si>
  <si>
    <t>1.004.0014.0052</t>
  </si>
  <si>
    <t>FAJA NYLON DOBLE CAPA 3" X 6M DEBE INCLUIR CERTIFICADOS DE CALIDAD</t>
  </si>
  <si>
    <t>FP030206-06</t>
  </si>
  <si>
    <t>FP030206-01</t>
  </si>
  <si>
    <t>1.004.0014.0054</t>
  </si>
  <si>
    <t>FAJA NYLON CON RACHET 2" X 30FT INCLUYE CERTIFICADO DE CALIDAD</t>
  </si>
  <si>
    <t>1.004.0014.0053</t>
  </si>
  <si>
    <t>FAJA NYLON CON RACHET 2" X 8MTS DEBE INCLUIR CERTIFICADO DE CALIDAD</t>
  </si>
  <si>
    <t>PULPO CABLE ACERO 4 RAMALES 1/2" X 2N 1,500KG (INCLUYE GUARDA CABOS Y ANILLOS)</t>
  </si>
  <si>
    <t>1.004.0014.0055</t>
  </si>
  <si>
    <t>GRILLETE DE ACERO 3/4" C/ PERNO ROSCADO Y CUPILLA DE SEGURIDAD</t>
  </si>
  <si>
    <t>1.006.0003.0012</t>
  </si>
  <si>
    <t>GRASA GADUS S2 V220 2 PARA ALTA PRESION MARCA: SHELL (400 GRAMOS</t>
  </si>
  <si>
    <t>3.007.0001.0003</t>
  </si>
  <si>
    <t>CAUTIN TIPO LAPZ 60W / 120 VAC (INCLUYE 5 PIEZAS ADICIONALES)</t>
  </si>
  <si>
    <t>AL--2022-03410</t>
  </si>
  <si>
    <t>JUEGO DE LLAVES COMBINADAS MILIMETRICAS 14 PZAS ( 10MM, 11MM, 12MM, 13MM, 14MM, 17MM, 19MM, 21MM, 22MM, 23MM, 24MM, 26MM, 30MM, 32MM)</t>
  </si>
  <si>
    <t>STANLEY</t>
  </si>
  <si>
    <t>JUEGO DE LLAVES COMBINADAS EN PULGADAS MOD. 86-970 14PZAS (3/8", 7/16", 1/2", 9/16", 5/8", 11/16", 3/4", 13/16", 7/8", 15/16", 1", 1-1/16", 1-1/8", 1-1/4"</t>
  </si>
  <si>
    <t>PALA CUADRADA CON CABO LARGO</t>
  </si>
  <si>
    <t>3.013.0001.0027</t>
  </si>
  <si>
    <t>ARCO DE SEGUETA</t>
  </si>
  <si>
    <t>CARRETILLA DE ALBAÑILERIA</t>
  </si>
  <si>
    <t>AL--2022-03464</t>
  </si>
  <si>
    <t>26/09/2022</t>
  </si>
  <si>
    <t>3.008.0001.0003</t>
  </si>
  <si>
    <t>CAJA DE HERRAMIENTAS METALICA GRANDE</t>
  </si>
  <si>
    <t>PROTO</t>
  </si>
  <si>
    <t>EDUARDO G</t>
  </si>
  <si>
    <t>RECEPCION DE HERRAMIENTAS Y MATERIAL AIGNADO AL EQUIPO COILED TUBING UBICADO EN BASE SAI</t>
  </si>
  <si>
    <t>3.004.0007.0003</t>
  </si>
  <si>
    <t>LLAVE AJUSTABLE 8"</t>
  </si>
  <si>
    <t>LLAVE AJUSTABLE 12"</t>
  </si>
  <si>
    <t>ALICATE ELECTRICO 8" MOD STANLEY 84-056 PETRUL PEL8PX</t>
  </si>
  <si>
    <t>PRETUL</t>
  </si>
  <si>
    <t>3.004.0006.0009</t>
  </si>
  <si>
    <t>ALICATE DE PRESION 10"</t>
  </si>
  <si>
    <t>TRUPER</t>
  </si>
  <si>
    <t>MARTILLO DE CARPINTERO</t>
  </si>
  <si>
    <t>BELLOTA</t>
  </si>
  <si>
    <t>3.002.0003.0009</t>
  </si>
  <si>
    <t>JGO DE DADOS HEXAGONAL 3/8" A 1-1/4" CON CUADRANTE 1/2" / MOD: J54126</t>
  </si>
  <si>
    <t>3.004.0006.0011</t>
  </si>
  <si>
    <t>ALICATE PUNTA LARGA 8"</t>
  </si>
  <si>
    <t>3.004.0006.0026</t>
  </si>
  <si>
    <t>ALICATE PELACABLE 9" MOD: 84-223</t>
  </si>
  <si>
    <t>3.005.0001.0016</t>
  </si>
  <si>
    <t>MANDARRIA DE HIERRO 6 LBS</t>
  </si>
  <si>
    <t>HERROAGRO</t>
  </si>
  <si>
    <t>AL--2022-03465</t>
  </si>
  <si>
    <t>3.005.0001.0007</t>
  </si>
  <si>
    <t>MANDARRIA DE BRONCE 3 KG</t>
  </si>
  <si>
    <t>3.004.0005.0021</t>
  </si>
  <si>
    <t>JGO DE DESTORNILLADORES MARCA STANLEY 10 PZAS PALA Y ESTRIA CON PUNTA MAGNETICA</t>
  </si>
  <si>
    <t xml:space="preserve">CEPILLO DE ALAMBRE </t>
  </si>
  <si>
    <t>SUPERIOP TOOLS</t>
  </si>
  <si>
    <t>CORREA 17485 P / COILED TUBING</t>
  </si>
  <si>
    <t>3.009.0003.0006</t>
  </si>
  <si>
    <t>LIMA MEDIA LUNA 10"</t>
  </si>
  <si>
    <t>3.003.0004.0005</t>
  </si>
  <si>
    <t>CINTA METRICA (METRO) DE 5 MTS</t>
  </si>
  <si>
    <t>1.005.0007.0011</t>
  </si>
  <si>
    <t>MECATE DE POLIPROPILENO 1/2"</t>
  </si>
  <si>
    <t>MTS</t>
  </si>
  <si>
    <t>2.013.0001.0087</t>
  </si>
  <si>
    <t>CORREA A-68</t>
  </si>
  <si>
    <t>CONDOR</t>
  </si>
  <si>
    <t>NOTA DE ENTREGA #0024</t>
  </si>
  <si>
    <t>SEBROMENCA</t>
  </si>
  <si>
    <t>27/09/2022</t>
  </si>
  <si>
    <t>RAM CIEGO DE BOP DE CABILLAS</t>
  </si>
  <si>
    <t>RECEPCION DE MATERIAL ASIGNADO A EQUIPO COILED TUBING (SERVICIO EN PROVEEDOR EXTERNO)</t>
  </si>
  <si>
    <t>BASE SAI</t>
  </si>
  <si>
    <t>RAM 3/4" DE BOP DE CABILLAS</t>
  </si>
  <si>
    <t>BOP TIPO CONVI</t>
  </si>
  <si>
    <t>CATERPILLAR</t>
  </si>
  <si>
    <t>153-48329</t>
  </si>
  <si>
    <t>AREA EXTERNA</t>
  </si>
  <si>
    <t>BOP QUARTZ P/N: LE44-X1400B INCLUYE VALVULA 2X2 P/N: BH0006, VALVULA 2X1 P/N: FP10151 Y TEE DE FLUJO</t>
  </si>
  <si>
    <t>TEXAS OIL TOOLS</t>
  </si>
  <si>
    <t>153-48327</t>
  </si>
  <si>
    <t>30121199</t>
  </si>
  <si>
    <t xml:space="preserve">KIT  60:1 DE REPARACION DE BANCO DE PRUEBA DE BOP </t>
  </si>
  <si>
    <t>KIT</t>
  </si>
  <si>
    <t>AL--2022-03473</t>
  </si>
  <si>
    <t>PROYECTO 27-09-2022</t>
  </si>
  <si>
    <t>15W40</t>
  </si>
  <si>
    <t>ACEITE DE MOTOR 15W40</t>
  </si>
  <si>
    <t>GALPON 3</t>
  </si>
  <si>
    <t>LTS</t>
  </si>
  <si>
    <t>RECEPCION DE MATERIALES  AIGNADOS AL EQUIPO COILED TUBING UBICADO EN BASE SAI</t>
  </si>
  <si>
    <t>ISO68</t>
  </si>
  <si>
    <t>80W90</t>
  </si>
  <si>
    <t>ACEITE DE TRANSMISION 80W90</t>
  </si>
  <si>
    <t>1.006.0001.0007</t>
  </si>
  <si>
    <t>DREMEL NEUMATICO MOD. CL2521</t>
  </si>
  <si>
    <t>CAMPELL HAUSFELD</t>
  </si>
  <si>
    <t>1.005.0002.0001</t>
  </si>
  <si>
    <t>SILICONE COLOR GRIS (ALTA TEMPERATURA)</t>
  </si>
  <si>
    <t>VERSELHAM</t>
  </si>
  <si>
    <t>AL--2022-03475</t>
  </si>
  <si>
    <t>KIT DE O-RING - VITON 70 AS-568 407 PZA / INCLUYE 23 MOD</t>
  </si>
  <si>
    <t>CAJA</t>
  </si>
  <si>
    <t>KIT DE O-RING - ASTM 70-NITRILO MOD AS-568 N 70A, 407 PZA 3 / INCLUYE 23 MOD</t>
  </si>
  <si>
    <t>AL--2022-03526</t>
  </si>
  <si>
    <t>01/10/2022</t>
  </si>
  <si>
    <t>OCT</t>
  </si>
  <si>
    <t>GRUPO GERENCIA</t>
  </si>
  <si>
    <t>UNIDAD DE FILTRADO ENSAMBLADA EN SKID PARA EQUIPO COILED TUBING</t>
  </si>
  <si>
    <t>CARLOS M</t>
  </si>
  <si>
    <t>PROYECTO</t>
  </si>
  <si>
    <t>RECEPCION DE MATERIAL PARA ASIGNACION A EQUIPO COILED TUBING</t>
  </si>
  <si>
    <t>AL--2022-03543</t>
  </si>
  <si>
    <t>03/10/2022</t>
  </si>
  <si>
    <t>PROYECTO 03-10-2022</t>
  </si>
  <si>
    <t>2.030.0001.0005</t>
  </si>
  <si>
    <t>MILLARD</t>
  </si>
  <si>
    <t xml:space="preserve">RECEPCION DE MATERIALES PARA ASIGNACION A EQUIPO COILET TUBING </t>
  </si>
  <si>
    <t>FILTRO DE AIRE PRIMARIO DONALDSON P527682 WIX 46556 / RS3518 / ML-65139</t>
  </si>
  <si>
    <t>2.001.0006.0056</t>
  </si>
  <si>
    <t>BALDWIN</t>
  </si>
  <si>
    <t>2.031.0001.0013</t>
  </si>
  <si>
    <t>WEB</t>
  </si>
  <si>
    <t>PARTMO</t>
  </si>
  <si>
    <t>AL--2022-03547</t>
  </si>
  <si>
    <t>DONALDSON</t>
  </si>
  <si>
    <t>AL--2022-03578</t>
  </si>
  <si>
    <t>05/10/2022</t>
  </si>
  <si>
    <t>SEAP 04-10-2022</t>
  </si>
  <si>
    <t>RESALTADOR AMARILLO</t>
  </si>
  <si>
    <t>RECEPCION DE MATERIAL DE OFICINA PARA ASIGNACION A PERSONAL DEL EQUIPO COILED TUBING UBICADO EN BASE SAI</t>
  </si>
  <si>
    <t>RESALTADOR VERDE</t>
  </si>
  <si>
    <t>DEV-2022-00161</t>
  </si>
  <si>
    <t>SAI-215</t>
  </si>
  <si>
    <t>ACEITE DE HIDRAULICO ISO68 (USADO)</t>
  </si>
  <si>
    <t>USADO</t>
  </si>
  <si>
    <t>RECEPCION PARA RESGUARDO EN GALPON 3 DE LUBRICANTE EXTRAIDO DEL EQUIPO COILED TUBING PARA SER RECICLADO Y REUTILIZADO EN LUBRICACION DEL EQUIPO</t>
  </si>
  <si>
    <t>AL--2022-03606</t>
  </si>
  <si>
    <t>07/10/2022</t>
  </si>
  <si>
    <t>PEGA LOCTITE N° 277</t>
  </si>
  <si>
    <t>RECEPCION DE MATERIAL ASIGNADO A EQUIPO COILED TUBING UBICADO EN BASE SAI</t>
  </si>
  <si>
    <t>2.013.0001.0010</t>
  </si>
  <si>
    <t>CORREA A-47</t>
  </si>
  <si>
    <t>IRON FLEX</t>
  </si>
  <si>
    <t>RECEPCION DE MATERIAL ASIGNADO A EQUIPO COILED TUBING UBICADO EN BASE SAI (MATERIAL CORRESPONDE A UN CAMBIO DE PN A LA OC: N°18657)</t>
  </si>
  <si>
    <t>DEV-2022-00164</t>
  </si>
  <si>
    <t>11/10/2022</t>
  </si>
  <si>
    <t>RAFAEL V</t>
  </si>
  <si>
    <t>RECEPCION DE LUBRICANTE PARA RESGUARDO EN ALMACEN, PROVENIENTE DEL EQUIPO COILED TUBING UBICADO EN BASE SAI</t>
  </si>
  <si>
    <t>AL--2022-03667</t>
  </si>
  <si>
    <t>13/10/2022</t>
  </si>
  <si>
    <t>SIHOA 13-10-2022</t>
  </si>
  <si>
    <t>CONTENEDOR (TAMBOR) DE COLOR GRIS PARA DESECHOS PELIGROSOS C / TAPA</t>
  </si>
  <si>
    <t>REMANUFACTURADO</t>
  </si>
  <si>
    <t>RECEPCION DE MATERIAL DE SEGURIDAD PARA SER ASIGNADO AL EQUIPO COILED TUBING UBICADO EN BASE SAI</t>
  </si>
  <si>
    <t>CONTENEDOR (TAMBOR) DE COLOR VERDE PARA DESECHOS NO PELIGROSOS C/ TAPA</t>
  </si>
  <si>
    <t>AL--2022-03668</t>
  </si>
  <si>
    <t>AL--2022-03670</t>
  </si>
  <si>
    <t>PENDIENTE</t>
  </si>
  <si>
    <t>AKSU</t>
  </si>
  <si>
    <t>WIX</t>
  </si>
  <si>
    <t>AL--2022-03780</t>
  </si>
  <si>
    <t>20/10/2022</t>
  </si>
  <si>
    <t>CT 20-10-2022</t>
  </si>
  <si>
    <t>MANGUERA DE AIRE 1/2" X 300 PSI TEFLON MALLA ACERO ALTA TEMPERATURA</t>
  </si>
  <si>
    <t>RAFAEL BOLIVAR</t>
  </si>
  <si>
    <t>RECEPCION DE MATERIALES PARA ASIGNACION A EQUIPO COILETD TUBING UBICADO EN BASE SAI</t>
  </si>
  <si>
    <t>MANGUERA DE COMBUSTIBLE 3/4" 270 PSI CON MALLA</t>
  </si>
  <si>
    <t>AL--2022-03738</t>
  </si>
  <si>
    <t>24/10/2022</t>
  </si>
  <si>
    <t>TABLERO ELECTRICO TRIFASICO 18 CIRCUITOS 250 AMP / TWP-18</t>
  </si>
  <si>
    <t>LUMNEX</t>
  </si>
  <si>
    <t>RECEPCION DE MATERIALES PARA ASIGNACION A CAMPAMENTO DEL DEPARTAMENTO COILED TUBING</t>
  </si>
  <si>
    <t>1.008.0002.0052</t>
  </si>
  <si>
    <t>BREAKER THQL EMPOTRABLE 2X50 AMP</t>
  </si>
  <si>
    <t>BTICINO</t>
  </si>
  <si>
    <t>8902/60N</t>
  </si>
  <si>
    <t>1.008.0002.0051</t>
  </si>
  <si>
    <t>BREAKER THQL EMPOTRABLE 1X20 AMP</t>
  </si>
  <si>
    <t>8901/20N</t>
  </si>
  <si>
    <t>DEV-2022-00172</t>
  </si>
  <si>
    <t>26/10/2022</t>
  </si>
  <si>
    <t>ACEITE DE MOTOR 15W40 (USADO)</t>
  </si>
  <si>
    <t>YORGAN M</t>
  </si>
  <si>
    <t>AL--2022-03945</t>
  </si>
  <si>
    <t>31/10/2022</t>
  </si>
  <si>
    <t>1.011.0001.0020</t>
  </si>
  <si>
    <t xml:space="preserve">VALVULA  DE PASO DE BRONCE ROSCADA 1/2" BAJA PRESION </t>
  </si>
  <si>
    <t>RECEPCION DE MATERIAL PARA ASIGNACION AL EQUIPO COILED TUBING UBICADO EN BASE SAI</t>
  </si>
  <si>
    <t>2.046.0001.0014</t>
  </si>
  <si>
    <t>KIT QUICK CONNECTOR COUPLING 1/2" 4500 PSI / MOD. 60-5 (INCLUYE 3 PIEZAS)</t>
  </si>
  <si>
    <t>1.011.0001.0004</t>
  </si>
  <si>
    <t>VALVULA DE BOLA 3/4" / 200LBS / ROSCADA BRONCE</t>
  </si>
  <si>
    <t>1.010.0005.0009</t>
  </si>
  <si>
    <t>TAPON GALVANIZADO HEMBRA 4" ROSCA NPT</t>
  </si>
  <si>
    <t>UPS APC BR1500G 1500VA, 865W, 120V, AVR, LCD, USB, RJ-45 10 TOMAS</t>
  </si>
  <si>
    <t>APC</t>
  </si>
  <si>
    <t>4B2101P19482</t>
  </si>
  <si>
    <t>TAPON GALVANIZADO MACHO 4" ROSCA NPT</t>
  </si>
  <si>
    <t>AL-2022-03948</t>
  </si>
  <si>
    <t>01/11/2022</t>
  </si>
  <si>
    <t>NOV</t>
  </si>
  <si>
    <t>1.006.0002.0011</t>
  </si>
  <si>
    <t>SHELL</t>
  </si>
  <si>
    <t>RECEPCION DE LUBRICANTES PARA ASIGNACION AL EQUIPO COILED TUBING UBICADO EN BASE SAI</t>
  </si>
  <si>
    <t>DEV-2022-00188</t>
  </si>
  <si>
    <t>ACEITE DE TRANSMISION 80W90 (USADO)</t>
  </si>
  <si>
    <t>AL-2022-03978</t>
  </si>
  <si>
    <t>03/11/2022</t>
  </si>
  <si>
    <t>CORTA TUBO 2-1/2" A 4" 44-S / MOD R32880</t>
  </si>
  <si>
    <t>RIDGID</t>
  </si>
  <si>
    <t>RECEPCION DE MATERIAL Y HERRAMIENTAS ASIGNADAS AL EQUIPO COILED TUBING UBICADO EN BASE SAI</t>
  </si>
  <si>
    <t>BOMBA DE TRANSFERENCIA DE FLUIDOS WILDEN PUMP / DOBLE DIAFRAGMA / C / IN 1" / OUT 3/4" CONEXIÓN NPT / AIRE 1/2" REDUCCION 1/4" MOD WE1-02-1170</t>
  </si>
  <si>
    <t>WILDEN</t>
  </si>
  <si>
    <t>SEALFAST</t>
  </si>
  <si>
    <t>2.023.0001.0014</t>
  </si>
  <si>
    <t>MANOMETRO 2" 0-5000 PSI CONEXIÓN INFERIOR DE 1/4" NPT</t>
  </si>
  <si>
    <t>MANOMETRO 2,5" / 0-300 PSI CONEXIÓN POSTERIOR 1/4" NPT</t>
  </si>
  <si>
    <t>MANOMETRO DE 2" 0-6000 PSI CONEXIÓN POSTERIOR DE 1/4" NPT</t>
  </si>
  <si>
    <t>BAUMER</t>
  </si>
  <si>
    <t>AL-2022-03995</t>
  </si>
  <si>
    <t>07/11/2022</t>
  </si>
  <si>
    <t>FILTRO TIPO MANGA</t>
  </si>
  <si>
    <t>RECEPCION DE MATERIAL PARA ASIGNACION  AL EQUIPO COILED TUBING</t>
  </si>
  <si>
    <t>CORTA TUBO 1" A 3" MOD. 32830 CON HOJILLA Y ROLEADOR</t>
  </si>
  <si>
    <t>LLAVE DE TUBO 12"</t>
  </si>
  <si>
    <t>LLAVE DE TUBO 24"</t>
  </si>
  <si>
    <t>LLAVE DE TUBO 36"</t>
  </si>
  <si>
    <t>RING JOINT GASKET (ANILLO R-37)</t>
  </si>
  <si>
    <t>RING JOINT GASKET (ANILLO R-39)</t>
  </si>
  <si>
    <t>AL-2022-03999</t>
  </si>
  <si>
    <t>08/11/2022</t>
  </si>
  <si>
    <t>PINZA AMPERIMETRICA AC/DC 400A MODELO FLUKE 323 (INCLUYE ESTUCHE PINZAS ROJO Y NEGRO)</t>
  </si>
  <si>
    <t>FLUKE</t>
  </si>
  <si>
    <t>323</t>
  </si>
  <si>
    <t>57671966MV</t>
  </si>
  <si>
    <t>AL-2022-04008</t>
  </si>
  <si>
    <t>09/11/2022</t>
  </si>
  <si>
    <t>FLOWMETER 2" FIGURA 1502</t>
  </si>
  <si>
    <t>CAMERO</t>
  </si>
  <si>
    <t>MAGNETIC PICK UP 5-30 VOLTIOS / 600 OHMS MOD. MS</t>
  </si>
  <si>
    <t>TRANSMISOR DE PRESION VIATRAN 4 A 20 MILIAMPERIOS / 0-15K PSI</t>
  </si>
  <si>
    <t>VIATRAN</t>
  </si>
  <si>
    <t>KIT DE REPARACION FLOWMETER 2" FIG 1502</t>
  </si>
  <si>
    <t>DEV-2022-00203</t>
  </si>
  <si>
    <t>15/11/2022</t>
  </si>
  <si>
    <t>BOMBA DE AGUA PARA CAMION COILED TUBING P/N 23522721</t>
  </si>
  <si>
    <t>RECEPCION DE MATERIAL PROVENIENTE DEL EQUIPO COILED TUBING  PARA RESGUARDO  Y POSTERIOR ENVIO A PROVEEDOR PARA REPARACION POR GARANTIA</t>
  </si>
  <si>
    <t>AL-2022-04038</t>
  </si>
  <si>
    <t>16/11/2022</t>
  </si>
  <si>
    <t>SA-AM-2022-056</t>
  </si>
  <si>
    <t>TRAPOS PARA MANTENIMIENTO INDUSTRIAL</t>
  </si>
  <si>
    <t>SACO</t>
  </si>
  <si>
    <t xml:space="preserve">RECEPCION DE MATERIAL PARA ASIGNACION A PERSONAL COILED TUBING </t>
  </si>
  <si>
    <t>CANDADO 60 MM</t>
  </si>
  <si>
    <t>CISA</t>
  </si>
  <si>
    <t>DEV-2022-00205</t>
  </si>
  <si>
    <t>RECEPCION DE MATERIAL PROVENIENTE DEL EQUIPO COILED TUBING  PARA RESGUARDO  Y POSTERIOR ENVIO A SERVICIO</t>
  </si>
  <si>
    <t>AL-2022-04049</t>
  </si>
  <si>
    <t>17/11/2022</t>
  </si>
  <si>
    <t>RECEPCION DE MATERIAL PARA ASISNACION A EQUIPO COILED TUBING UBICADO EN BASE SAI  (ODC 0019261)</t>
  </si>
  <si>
    <t>ACEITE HIDRAULICO DEXRON VI</t>
  </si>
  <si>
    <t>AL-2022-04052</t>
  </si>
  <si>
    <t>18/11/2022</t>
  </si>
  <si>
    <t>RECEPTACULO APPLETON ADR3034 HEMBRA 30 AMP / 3W / 4P/ 250-600V / 50-400HZ</t>
  </si>
  <si>
    <t xml:space="preserve">APPLETON </t>
  </si>
  <si>
    <t>RECEPCION DE MATERIAL PARA  INSTALACION EN EQUIPO COILED TUBING UBICADO EN BASE SAI</t>
  </si>
  <si>
    <t>RECEPTACULO APPLETON ADR1034 HEMBRA 100 AMP / 3W / 4P/ 250-600V / 50-400HZ</t>
  </si>
  <si>
    <t>PLUG APPLETON ACP 1034CD MACHO 100 AMP / 3W / 4P / 250-600V / 50-400HZ</t>
  </si>
  <si>
    <t>FULGOR</t>
  </si>
  <si>
    <t>F1104843</t>
  </si>
  <si>
    <t>MULTIMETRO FLUKE MOD. 87V (INCLUYE: ESTUCHE DE GOMA, CABLE ROJO Y NEGRO, PINZAS TIPO CAIMAN (2), CABLE TERMOCUPULA Y PILA 9V)</t>
  </si>
  <si>
    <t>RECEPCION DE MATERIAL PARA  ASIGNACION A PERSONAL COILED TUBING UBICADO EN BASE SAI</t>
  </si>
  <si>
    <t>NOTA DE ENTREGA #0044</t>
  </si>
  <si>
    <t>CABLE DE COMUNICACIÓN CON CONECTOR ALFRENOL 6 PINES HXH</t>
  </si>
  <si>
    <t>DEV-2022-00215</t>
  </si>
  <si>
    <t>MULTIBOMBAS EL TIGRE</t>
  </si>
  <si>
    <t>21/11/2022</t>
  </si>
  <si>
    <t>RECEPCION DE MATERIAL PROVENIENTE DE PROVEEDOR EXTERNO MULTIBOMBAS EL TIGRE ASOCIADO AL EQUIPO COILED TUBING</t>
  </si>
  <si>
    <t>AL-2022-04063</t>
  </si>
  <si>
    <t>22/11/2022</t>
  </si>
  <si>
    <t>CENTRIFUGA PARA PROBETA 8 PUESTO TIPO TABAQUITO CAP. 12,5 ML ALIMENTACION 110V</t>
  </si>
  <si>
    <t>REFLECTOR LED IP65 400W / 85-227V IP65 / MOVIBLE</t>
  </si>
  <si>
    <t>PLUG ECP APPLETON PN ECP 2023 / 20 AMP / 125V / 2W3P</t>
  </si>
  <si>
    <t>APPLETON</t>
  </si>
  <si>
    <t>PAPEL /CINTA PARA MEDIR EL PH 0-14  (TIRAS) 100 TEST</t>
  </si>
  <si>
    <t>CABLE AWG #4 X 4C 600V ICV ST CU 60C</t>
  </si>
  <si>
    <t>CABLE AWG #12 X 3C ST 600V / 105°C</t>
  </si>
  <si>
    <t>AL-2022-04064</t>
  </si>
  <si>
    <t>ELECTRODO 7018-1/8" REF. GRICON 15</t>
  </si>
  <si>
    <t>KG</t>
  </si>
  <si>
    <t>DEV-2022-00223</t>
  </si>
  <si>
    <t>25/11/2022</t>
  </si>
  <si>
    <t>DEV-2022-00236</t>
  </si>
  <si>
    <t>MULTIBOMBAS EL TIGRE, C.A.</t>
  </si>
  <si>
    <t>01/12/2022</t>
  </si>
  <si>
    <t>DIC</t>
  </si>
  <si>
    <t>JOSEPTT M.</t>
  </si>
  <si>
    <t>RECEPCION DE MATERIAL PROVENIENTE DE PROVEEDOR EXTERNO MULTIBOMBAS EL TIGRE ASOCIADO AL EQUIPO COILED TUBING UBICADO EN BASE SAI</t>
  </si>
  <si>
    <t>AL-2022-04099</t>
  </si>
  <si>
    <t>02/12/2022</t>
  </si>
  <si>
    <t>DINAMO PARA GENERADOR ELECTRICO N/P: GP9926 ALT. KUBOTA 12V 20 AMP</t>
  </si>
  <si>
    <t>RECEPCION DE MATERIAL PARA ASIGNACION A PLANTA ELCTRICA ASOCIADO AL EQUIPO COILED TUBING UBICADO EN BASE SAI</t>
  </si>
  <si>
    <t>DEV-2022-00237</t>
  </si>
  <si>
    <t>RAFAEL V.</t>
  </si>
  <si>
    <t>AL-2022-04128</t>
  </si>
  <si>
    <t>09/12/2022</t>
  </si>
  <si>
    <t>PLUG APPLETON ARC3034BC 30 AMP / 4 POLOS / 3 CABLES</t>
  </si>
  <si>
    <t>RECEPTACULO APPLETONADR1034 HEMBRA 100 AMP / 3W / 4P / 250-600V / 50-400HZ</t>
  </si>
  <si>
    <t>AL-2022-04156</t>
  </si>
  <si>
    <t>14/12/2022</t>
  </si>
  <si>
    <t>DAUER</t>
  </si>
  <si>
    <t>RECEPCION DE MATERIAL PARA ASIGNACION UNIDAD COILED TUBING</t>
  </si>
  <si>
    <t>O-RING 4" P/N: OR-343</t>
  </si>
  <si>
    <t>O-RING</t>
  </si>
  <si>
    <t>FILTRO DE AIRE P/N: CAT-61-2505</t>
  </si>
  <si>
    <t>BOMBA DE AGUA</t>
  </si>
  <si>
    <t>TAPA DEL FLUID END 3-1/2"</t>
  </si>
  <si>
    <t>ROLL-ON CONECTOR 2-3/8" X 0,185'</t>
  </si>
  <si>
    <t>CROSSOVER PIN TO PIN 2-1/2"</t>
  </si>
  <si>
    <t>FUSIBLE 250V X 6,3 AMP</t>
  </si>
  <si>
    <t>CANOA DE 12 MTS X 3 MTS</t>
  </si>
  <si>
    <t>CORREA PARA MOTOR DETROIT S60 N/P: 23520032</t>
  </si>
  <si>
    <t>CEPILLO DE ALAMBRE</t>
  </si>
  <si>
    <t>TUBERIA DE 2" FIG 1502 X 3 FT (ROJO)</t>
  </si>
  <si>
    <t>TUBERIA DE 2" FIG 1502 X 3 FT (VERDE)</t>
  </si>
  <si>
    <t>TUBERIA DE 2" FIG 1502 X 4 FT (ROJO)</t>
  </si>
  <si>
    <t>TUBERIA DE 2" FIG 1502 X 6 FT (VERDE)</t>
  </si>
  <si>
    <t>NIPLE REY 1"</t>
  </si>
  <si>
    <t>MANGUERA MULTIUSO 1" X 300 PSI COLOR ROJO</t>
  </si>
  <si>
    <t>CONECTOR NPT 90°</t>
  </si>
  <si>
    <t>PLUG 1/4" (TAPON MACHO NPT 1/4")</t>
  </si>
  <si>
    <t>UNIDAD DE BOMBEO (MONTADA EN TRAILER  TIPO 5TA RUEDA) MOTOR DETROIT DIESEL S60</t>
  </si>
  <si>
    <t>DINAMO PARA GENERADOR ELECTRICO</t>
  </si>
  <si>
    <t>GRASA GADUS S2 V220 2 PARA ALTA PRESION MARCA: SHELL (400 GRAMOS)</t>
  </si>
  <si>
    <t>PACKING PLASTIC</t>
  </si>
  <si>
    <t>CAUCHO 12-00-20 CON TRIPA Y PROTECTOR</t>
  </si>
  <si>
    <t>BARRA CORRIDA  DE 5/8 " X 70" (TORNILLO SIN FIN)</t>
  </si>
  <si>
    <t>TUERCA PARA ESPARRAGO 5/8</t>
  </si>
  <si>
    <t>FLUIDO DE INSTRUMENTACION</t>
  </si>
  <si>
    <t>PLUG 174" TAPON</t>
  </si>
  <si>
    <t>TORNILLO SIN FIN 1/4"</t>
  </si>
  <si>
    <t>CONECTOR 2W 3P FOR RIG A LITE MACHO-HEMBRA</t>
  </si>
  <si>
    <t>GRAMPA PARA GUAYA 9-1/16"</t>
  </si>
  <si>
    <t xml:space="preserve">ARANDELA PLANA </t>
  </si>
  <si>
    <t>TANQUE PARA GASOIL MEDIDAS 7FT X 12 FT X 6 FT</t>
  </si>
  <si>
    <t>BASE METALICA PARA FILTRO RACOR 20-20</t>
  </si>
  <si>
    <t>BARRAS CHACAS</t>
  </si>
  <si>
    <t>ESPARRAGO  11907-83 (5/8" X 3-1/2")</t>
  </si>
  <si>
    <t>TRAPO PARA MANTENIMIENTO INDUSTRIAL</t>
  </si>
  <si>
    <t>PAPEL DE EMPACADURA 3/16" X 150 CM X 150 CM (AMIANTO)</t>
  </si>
  <si>
    <t>CONECTOR 1/4" NPT X 5/16" FLARE</t>
  </si>
  <si>
    <t>TORNILLO 3/8" X 1-1/2"</t>
  </si>
  <si>
    <t>TORNILLO 3/8" X 2"</t>
  </si>
  <si>
    <t>TUERCA 3/8"</t>
  </si>
  <si>
    <t>MANGUERA DE COMBUSTIBLE  3/4" X 270 PSI CON MALLA</t>
  </si>
  <si>
    <t>CONECTOR SWIVEL REUSABLE N° 12</t>
  </si>
  <si>
    <t>ADAPTER 3/4" NPT X SWIVEL N° 12</t>
  </si>
  <si>
    <t>ADAPTER 1" NPT X SWIVEL N° 12</t>
  </si>
  <si>
    <t>CODO TIPO PIPA 1"</t>
  </si>
  <si>
    <t>BUSHING REDUCTOR 1" X 3/4" NPT</t>
  </si>
  <si>
    <t>KIT DE BLOQUEO</t>
  </si>
  <si>
    <t>NIPLE 4" X 8" XX8</t>
  </si>
  <si>
    <t>GRASERA MANUAL TAPA PARA CUÑETE</t>
  </si>
  <si>
    <t>GRASA SWEPCO 222</t>
  </si>
  <si>
    <t>UNIDAD DE BOMBEO (MONTADA EN TRAILER  TIPO 5TA RUEDA) MOTOR DETROIT DIESEL S60 MOD: YLT100-600 CODIGO VIN: LA99CRT26F9JRR312</t>
  </si>
  <si>
    <t xml:space="preserve">ELECTRODO 7018-1/8" </t>
  </si>
  <si>
    <t>CAUCHO 275/70/R22.5</t>
  </si>
  <si>
    <t>OR-343</t>
  </si>
  <si>
    <t>65021190</t>
  </si>
  <si>
    <t>CAT-612505</t>
  </si>
  <si>
    <t>617006</t>
  </si>
  <si>
    <t>33118</t>
  </si>
  <si>
    <t>8412-6061</t>
  </si>
  <si>
    <t>8412-2461</t>
  </si>
  <si>
    <t>8412-3750</t>
  </si>
  <si>
    <t>992141S44</t>
  </si>
  <si>
    <t>4PNMP4</t>
  </si>
  <si>
    <t>MI-62</t>
  </si>
  <si>
    <t>3100453</t>
  </si>
  <si>
    <t>1H8657</t>
  </si>
  <si>
    <t>W154</t>
  </si>
  <si>
    <t>4P470MN</t>
  </si>
  <si>
    <t>H131003010</t>
  </si>
  <si>
    <t>PC13</t>
  </si>
  <si>
    <t>1010211</t>
  </si>
  <si>
    <t>503004277829000</t>
  </si>
  <si>
    <t>601408305</t>
  </si>
  <si>
    <t>PAPELEMP3/16</t>
  </si>
  <si>
    <t>7802296</t>
  </si>
  <si>
    <t>7300379</t>
  </si>
  <si>
    <t>703001145049000</t>
  </si>
  <si>
    <t>N4X8XXH</t>
  </si>
  <si>
    <t>GALON</t>
  </si>
  <si>
    <t>JUEGO</t>
  </si>
  <si>
    <t>CAT</t>
  </si>
  <si>
    <t>DETROIT</t>
  </si>
  <si>
    <t>JEREH</t>
  </si>
  <si>
    <t>GOODYEAR</t>
  </si>
  <si>
    <t xml:space="preserve">BRIDGESTONE </t>
  </si>
  <si>
    <t>LOBSTER</t>
  </si>
  <si>
    <t>UNIFLEX</t>
  </si>
  <si>
    <t>FC</t>
  </si>
  <si>
    <t>JERED</t>
  </si>
  <si>
    <t>MIVHELLIN</t>
  </si>
  <si>
    <t>153-48330</t>
  </si>
  <si>
    <t>GP9928</t>
  </si>
  <si>
    <t>11150013</t>
  </si>
  <si>
    <t>CONSUMIBLE REQUERIDO PARA REALIZACION DE LIMPIEZA EN CONEXIONES HIDRAULICAS DEL EQUIPO</t>
  </si>
  <si>
    <t xml:space="preserve">ENTREGA DE MATERIAL REQUERIDO PARA USO EN BOMBA TRIPLEX DE UNIDAD DE BOMBEO DE EQUIPO </t>
  </si>
  <si>
    <t>SALIDA DE MATERIAL EN CALIDAD DE PRESTAMO PARA PRUEBA DE BOP. DEBE RETORNAR A BASE AL FINALIZAR PRUEBA</t>
  </si>
  <si>
    <t xml:space="preserve">ENTREGA DE MATERIAL REQUERIDO PARA INSTALACION EN EQUIPO BOMBA </t>
  </si>
  <si>
    <t>ENVIO DE COMPONENTES DE LA BOMBA TRIPLEX ASOCIADO A EQUIPO COILED TUBING A PROVEEDOR EXTERNO (TOMA DE MEDIDAS PARA REALIZAR PRESUPUESTO)</t>
  </si>
  <si>
    <t>ENTREGA DE MATERIAL REQUERIDO PARA ADAPTACION EN POWER PACK DE EQUIPO</t>
  </si>
  <si>
    <t>ENVIO DE COMPONENTE A SERVICIO DE REPARACION EN TALLER EXTERNO SEGÚN ODS: GP-CL-2022-004</t>
  </si>
  <si>
    <t>ENTREGA DE MATERIALES PARA REPARACION EN BOMBA DE LODO DEL EQUIPO</t>
  </si>
  <si>
    <t>ENTREGA DE MATERIAL FABRICADO EN PROVEEDOR EXTERNO REQUERIDO PARA REPARACION DE BOMBA DE LODO ASOCIADA A EQUIPO</t>
  </si>
  <si>
    <t>ENVIO DE COMPONENTE A SERVICIO DE CERTIFICACION EN PROVEEDOR EXTERNO SEGÚN ODS: GP-CL-2022-013 LA MISMA DEBE RETORNAR AL FINALIZAR SERVICIO</t>
  </si>
  <si>
    <t>ENTREGA DE COMPONENTE PARA SER INSTALADO EN CAMION DEL EQUIPO COILED TUBING UBICADO EN BASE SAI</t>
  </si>
  <si>
    <t>ENVIO DE COMPONENTE A PROVEEDOR EXTERNO PARA REALIZAR SERVICIO DE MECANIZADO SEGÚN ODS: GP-CL-2022-015</t>
  </si>
  <si>
    <t>ENTREGA DE MATERIAL PARA REEMPLAZO EN PLC DE LA UNIDAD BOMBA DEL EQUIPO COILED TUBING</t>
  </si>
  <si>
    <t>ENTREGA DE MATERIAL REQUERIDO PARA CAMBIO DE REFRIGERANTE EN LA UNIDAD DE BOMBEO DEL EQUIPO COILED TUBING UBICADO EN BASE SAI</t>
  </si>
  <si>
    <t>ENVIO DE COMPONENTE PARA REPARACION EN TALLER DE FABRICACION BASE TEPECA</t>
  </si>
  <si>
    <t>ENTREGA DE MATERIAL PARA MANTENIMIENTO PREVENTIVO A EQUIPO COILED TUBING  (UNIDAD POWER PACK)</t>
  </si>
  <si>
    <t>ENTREGA DE MATERIAL PARA MANTENIMIENTO PREVENTIVO A EQUIPO COILED TUBING  (UNIDAD DE BOMBEO)</t>
  </si>
  <si>
    <t>ENTREGA DE MATERIAL REQUERIDO PARA SER INSTALADO EN BOMBA DE FLUIDO DEL EQUIPO COILED TUBING UBICADO EN BASE SAI</t>
  </si>
  <si>
    <t>ENTREGA DE MATERIAL PARA INSTALACION EN UNIDAD DE BOMBEO (LINEA DE SUCCION Y DESCARGA) DEL EQUIPO COILED TUBING UBICADO EN BASE SAI</t>
  </si>
  <si>
    <t>ENTREGA DE MATERIAL REQUERIDO PARA USO EQUIPO COILED TUBING UBICADO EN BASE SAI</t>
  </si>
  <si>
    <t>ENTREGA DE MATERIAL PARA INSTALACION EN DISTRIBUCION DE COMBUSTIBLE DEL EQUIPO COILED TUBING UBICADO EN BASE SAI</t>
  </si>
  <si>
    <t>ENTREGA DE LUBRICANTES PARA LUBRICACION DE CADENAS DEL EQUIPO COILED TUBING UBICADO EN BASE SAI</t>
  </si>
  <si>
    <t>ENTREGA DE MATERIAL REQUERIDO PARA SER INSTALADO EN LA UNIDAD DE BOMBEO DEL EQUIPO COILED TUBING UBICADO EN BASE SAI</t>
  </si>
  <si>
    <t>ENTREGA DE MATERIALES PARA INSTALACION EN INYECCION LOW (PROVENIENTE DE MATERIAL BAJO RESGUARDO DEL EQUIPO COILED TUBING)</t>
  </si>
  <si>
    <t>ENTREGA DE MATERIAL PARA ASIGNACION A PERSONAL DE EQUIPO COILED TUBING UBICADO EN BASE SAI</t>
  </si>
  <si>
    <t>ENTREGA DE LUBRICANTE PARA COMPLETACION DE NIVEL EN GENERADOR DEL EQUIPO COILED TUBING</t>
  </si>
  <si>
    <t>ENTREGA DE MATERIAL PARA SER INSTALADO EN GENERADOR ELECTRICO  Y POWER PACK DEL EQUIPO COILED TUBING UBICADO EN BASE SAI</t>
  </si>
  <si>
    <t>ENTREGA DE MATERIAL PARA SER INSTALADO EN SISTEMA DE COMBUSTIBLE DEL EQUIPO COILED TUBING UBICADO EN BASE SAI</t>
  </si>
  <si>
    <t>ENTREGA DE MATERIAL REQUERIDO PARA INSTALACION EN SISTEMA NEUMATICO DEL EQUIPO COILED TUBING UBICADO EN BASE SAI</t>
  </si>
  <si>
    <t>SALIDA DE EQUIPO A BASE TEPECA PARA CARGA DE GASOIL. DEBE RETORNAR A BASE SAI AL FINALIZAR ACTIVIDAD</t>
  </si>
  <si>
    <t>ENTREGA DE MATERIAL REQUERIDO PARA SER INSTALADO EN UNIDAD DE BOMBEO, ASOCIADO AL EQUIPO COILED TUBING (TOMADO DE INVENTARIO COILED TUBING)</t>
  </si>
  <si>
    <t>COMPONENTE PARA SER UTILIZADO COMO MUESTRA EN VARIOS PROVEEDORES, DEBE RETORNA A BASE SAI</t>
  </si>
  <si>
    <t>ENTREGA DE CONSUMIBLE PARA COMPLETACION DE NIVEL AL CHUTO TP-018</t>
  </si>
  <si>
    <t>ENTREGA DE MATERIAL PARA ENGRASE DE JOINT SWIVEL EN EL EQUIPO COILED TUBING</t>
  </si>
  <si>
    <t>ENTREGA DE MATERIAL PARA ENGRASE DE VALVULA EN EL EQUIPO COILED TUBING</t>
  </si>
  <si>
    <t>ENTREGA DE CONSUMIBLE PARA COMPLETACION DE NIVEL BOMBA DE LODO ASOCIADO AL EQUIPO COILED TUBING</t>
  </si>
  <si>
    <t>ENVIO DE MATERIALES A PROVEEDOR EXTERNO PARA SERVICIO DE MONTURA EN RINES DEL  MONTARCAGA HISTER ASOCIADO A EQUIPO SAI-205 SEGÚN ODS: MT-MP-2022-333 (MATERIAL TOMADO DEL RESGUARDO PERTENECIENTE AL EQUIPO COILED TUBING)</t>
  </si>
  <si>
    <t>ENTREGA DE LUBRICANTE PARA CAMBIO EN POWER END ASOCIADO AL EQUIPO COILED TUBING UBICADO EN BASE SAI</t>
  </si>
  <si>
    <t>ENTREGA DE MATERIAL PARA INSTALACION DE VALVULA EN CANOA ASOCIADA AL EQUIPO COILED TUBING UBICADO EN BASE SAI</t>
  </si>
  <si>
    <t>ENTREGA DE MATERIAL PARA MANTENIMIENTOS EN EL EQUIPO COILED TUBING UBICADO EN BASE SAI</t>
  </si>
  <si>
    <t>ENTREGA DE MATERIALES PARA ACTIVIDADES EN EL EQUIPO COILED TUBING UBICADO EN BASE SAI</t>
  </si>
  <si>
    <t>ENTREGA DE MATERIAL PARA INSTALACION EN UNIDAD POWER PACK DEL EQUIPO COILED TUBING UBICADO EN BASE SAI</t>
  </si>
  <si>
    <t>ENVIO DE HERRAMIENTA A BASE TEPECA PARA RESGUARDO Y POSTERIOR DEVOLUCION A PROVEEDOR</t>
  </si>
  <si>
    <t>ENVIO DE LUBRICANTE PARA COMPLETACION DE NIVEL EN EL SISTEMA HIDRAULICO DEL HOIST Y ACUMULADOR DE PRESION ASOCIADO AL EQUIPO SAI-215 (TOMADO EN CALIDAD DE PRESTAMO DEL EQUIPO COILED TUBING)</t>
  </si>
  <si>
    <t>ENVIO DE LUBRICANTE PARA COMPLETACION DE NIVEL EN EL SISTEMA HIDRAULICO PRINCIPAL  ASOCIADO AL EQUIPO TP-554 (TOMADO EN CALIDAD DE PRESTAMO DEL EQUIPO COILED TUBING)</t>
  </si>
  <si>
    <t>ENVIO DE LUBRICANTE PARA COMPLETACION DE NIVEL EN EL SISTEMA HIDRAULICO PRINCIPAL  ASOCIADO AL EQUIPO TP-552 (TOMADO EN CALIDAD DE PRESTAMO DEL EQUIPO COILED TUBING)</t>
  </si>
  <si>
    <t>ENVIO DE MATERIAL A BASE TEPECA PARA RESGUARDO Y POSTERIOR DEVOLUCION A PROVEEDOR POR NO CUMPLIR CON LOS REQUERIMIENTOS</t>
  </si>
  <si>
    <t>ENVIO DE LUBRICANTE PARA COMPLETACION DE NIVEL EN EL SISTEMA HIDRAULICO  ASOCIADO AL EQUIPO PDV-181 (MATERIAL TOMADO EN CALIDAD DE PRESTAMO DEL EQUIPO COILED TUBING)</t>
  </si>
  <si>
    <t>ENVIO DE LUBRICANTE PARA COMPLETACION DE NIVEL EN EL SISTEMA HIDRAULICO  ASOCIADO AL EQUIPO SAI-205 (MATERIAL TOMADO EN CALIDAD DE PRESTAMO DEL EQUIPO COILED TUBING)</t>
  </si>
  <si>
    <t>ENVIO DE COMPONENTE A PROVEEDOR EXTERNO PARA SERVICIO DE REPARACION POR GARANTIA, SEGÚN ORDEN DE SERVICIO GP-CL-2022-004</t>
  </si>
  <si>
    <t>ENVIO DE LUBRICANTE PARA COMPLETACION DE NIVELES EN MONTACARGA ASOCIADO AL CAMPAMENTO DEL EQUIPO SAI-205 (MATERIAL PROVENIENTE DE RESGUARDO DE EQUIPO COILED TUBING)</t>
  </si>
  <si>
    <t>ENTREGA DE MATERIAL PARA SER INSTALADO EN EQUIPO COILED TUBING (MATERIAL REGRESADO DE PROVEEDOR EXTERNO REPARADO POR GARANTIA)</t>
  </si>
  <si>
    <t>ENVIO DE MATERIAL A PROVEEDOR EXTERNO PARA SERVICIO DE REPARACION POR GARANTIA</t>
  </si>
  <si>
    <t>ENTREGA DE CONSUMIBLES PARA USO EN ACTIVIDADES DEL EQUIPO COILED TUBING UBICADO EN BASE SAI</t>
  </si>
  <si>
    <t>ENTREGA DE LUBRICANTES PARA COMPLETACION EN CAJA TRANSFER DE LA UNIDAD INYECTORA DEL EQUIPO COILED TUBING UBICADO EN BASE SAI</t>
  </si>
  <si>
    <t>ENTREGA DE LUBRICANTES PARA COMPLETACION EN CAJA ALLISON DE LA UNIDAD INYECTORA DEL EQUIPO COILED TUBING UBICADO EN BASE SAI</t>
  </si>
  <si>
    <t>ENTREGA DE CONSUMIBLE REQUERIDO PARA ADECUACIONES EN EQUIPO COILED TUBING UBICADO EN BASE SAI</t>
  </si>
  <si>
    <t>ENTREGA DE MATERIAL PARA FABRICACION DE CAJA DE HERRAMIENTA ASOCIADO AL EQUIPO COILED TUBING UBICADO EN BASE SAI</t>
  </si>
  <si>
    <t>ENTREGA DE CONSUMIBLE PARA COMPLETACION DE NIVEL EN CAJA ALLISON ASOCIADA AL EQUIPO COILED TUBING UBICADO EN BASE SAI</t>
  </si>
  <si>
    <t>ENTREGA DE COMPONENTE PARA INSTALACION EN UNIDAD DE BOMBEO ASOCIADO AL EQUIPO COILED TUBING UBICADO EN BASE SAI</t>
  </si>
  <si>
    <t>ENTREGA DE CONSUMIBLE PARA COMPLETACION DE NIVEL EN CAJA DE VELOCODAD DE LA UNIDAD DE BOMBEO ASOCIADA AL EQUIPO COILED TUBING UBICADA EN BASE SAI</t>
  </si>
  <si>
    <t>ENTREGA DE MATERIAL PARA ADECUACIONES ELECTRICAS ASOCIADO AL EQUIPO COILED TUBING UBICADO EN BASE SAI</t>
  </si>
  <si>
    <t>ENTREGA DE MATERIAL PARA INSTALACION DE VIENTOS EN EL EQUIPO COILED TUBING UBICADO EN BASE SAI</t>
  </si>
  <si>
    <t>ENTREGA DE MATERIAL PARA IDENTIFICACION DE MANGUERAS EN EL EQUIPO COILED TUBING UBICADO EN BASE SAI</t>
  </si>
  <si>
    <t>ENTREGA DE CONSUMIBLE PARA COMPLETACION DE NIVEL EN MOTOR DE BOMBA ASOCIADO AL EQUIPO COILED TUBING UBICADO EN BASE SAI</t>
  </si>
  <si>
    <t>ENVIO DE EQUIPO RETIRADO DE AREA EXTERNA BASE SAI PARA REPARACION Y ADECUACIONES EN BASE TEPECA (EQUIPO ASIGNADO A UNIDAD COILED TUBING)</t>
  </si>
  <si>
    <t>ENVIO DE MATERIAL RETIRADO DE AREA EXTERNA BASE SAI PARA REPARACION Y ADECUACIONES EN BASE TEPECA (EQUIPO ASIGNADO A UNIDAD COILED TUBING)</t>
  </si>
  <si>
    <t>ENVIO DE MATERIAL PARA ADECUACIONES EN TANQUE (EQUIPO ASIGNADO A UNIDAD COILED TUBING)</t>
  </si>
  <si>
    <t>ENVIO DE MATERIAL PARA FABRICACION DE MANIFOLD DEL TANQUE DE SUMINISTRO  ASOCIADO A LA UNIDAD COILED TUBING</t>
  </si>
  <si>
    <t>ENTREGA DE MATERIAL PARA INSTALACION EN EQUIPO COILED TUBING UBICADO EN BASE SAI</t>
  </si>
  <si>
    <t>ENTREGA DE MATERIAL PARA INSTALACION EN PLANTA ELECTRICA ASOCIADO AL EQUIPO COILED TUBING UBICADO EN BASE SAI</t>
  </si>
  <si>
    <t>ENVIO DE COMPONENTE A BASE TEPECA EN CALIDAD DE PRESTAMO A DPTO. FABRICACION PARA TOMA DE MEDIDAS</t>
  </si>
  <si>
    <t>TRASLADO DE CONSUMIBLES A BASE TEPECA EN CALIDAD DE PRESTAMO A PERSONAL DE FABRICACION (TOMADO DE ASIGNACION A EQUIPO COILED TUBING)</t>
  </si>
  <si>
    <t>ENVIO DE LUBRICANTE PARA SER UTILIZADO EN COMPLETACION DE NIVEL DEL TANQUE HIDRAULICO PRINCIPAL DEL HOIST DEL EQUIPO TP-554  (TOMADO EN CALIDAD DE PRESTAMO DE RESGUARDO PERTENECIENTE AL EQUIPO COILED TUBING)</t>
  </si>
  <si>
    <t>ENVIO DE MATERIAL A BASE TEPECA (FABRICACION) PARA ELABORACION DE EMPACADURAS EN TAPAS DE TANQUE ASOCIADO AL EQUIPO COILED TUBING</t>
  </si>
  <si>
    <t>ENTREGA DE MATERIAL PARA INSTALACION EN UNIDAD DE FILTRADO ASOCIADO AL EQUIPO COILED TUBING</t>
  </si>
  <si>
    <t>ENTREGA DE MATERIAL PARA INSTALACION EN MANGUERA DE LUBRICACION DE CADENA INYECTOR ASOCIADO AL EQUIPO COILED TUBING</t>
  </si>
  <si>
    <t>ENTERGA DE CONSUMIBLE PARA COMPLETACION DE NIVEL EN PLANTA ELECTRICA ASOCIADA AL EQUIPO COILED TUBING</t>
  </si>
  <si>
    <t>ENTREGA DE MATERIAL PARA INSTALACION  EN PANEL DE CONTROL ASOCIADO AL EQUIPO COILED TUBING</t>
  </si>
  <si>
    <t>ENVIO DE CONSUMIBLE PARA COMPLETACION DE NIVEL EN HOIST ASOCIADO AL EQUIPO SAI-215 (MATERIAL TOMADO EN CALIDAD DE PRESTAMO DEL EQUIPO COILED TUBING, AUTORIZADO POR SR CARLOS MENDOZA) MATERIAL DESPACHADO EL DIA 14/12/22 POR ESPERA DE VEHICULO</t>
  </si>
  <si>
    <t>ENVIO DE MATERIAL PARA INSTALACION EN BOMBA DE TRANSFERENCIA ASOCIADA AL EQUIPO COILED TUBING (MATERIAL SERA RECIBIDO POR PERSONAL DE FABRICACION BASE TEPECA)</t>
  </si>
  <si>
    <t>ENVIO DE MATERIAL PARA INSTALACION EN TANQUE DE SUMINISTRO DE COMBUSTIBLE DEL CAMPAMENTO ASOCIADO AL EQUIPO COILED TUBING</t>
  </si>
  <si>
    <t>ENVIO DE CONSUMIBLE PARA ASIGNACION A DEPARTAMENTO MANTENIMIENTO LIVIANO BASE TEPECA (MATERIAL TOMADO EN CALIDAD DE PRESTAMO DEL EQUIPO COILED TUBING AUTORIZADO POR EL SR CARLOS MENDOZA)</t>
  </si>
  <si>
    <t>ENTREGA DE MATERIAL PARA INSTALACION EN CAJA DE HERRAMIENTA ASOCIADA AL EQUIPO COILED TUBING</t>
  </si>
  <si>
    <t>ENTREGA DE MATERIAL PARA MANTENIMIENTO EN EQUIPO COILED TUBING</t>
  </si>
  <si>
    <t>ENTREGA DE CONSUMIBLE PARA CAMBIO DE ACEITE EN CAJA DE INYECTOR ASOCIADA AL EQUIPO COILED TUBING</t>
  </si>
  <si>
    <t>ENVIO DE MATERIAL A BASE TEPECA PARA INSTALACION EN TANQUE DE GASOIL ASOCIADO AL EQUIPO COILED TUBING</t>
  </si>
  <si>
    <t>ENTREGA DE CONSUMIBLE PARA COMPLETACION DE NIVEL EN CAJA DE TRANSMISION DEL REEL ASOCIADO AL EQUIPO COILED TUBING</t>
  </si>
  <si>
    <t>ENTREGA DE HERRAMIENTAS PARA USO EN OPERACIONES DIARIAS ASOCIADAS AL EQUIPO COLIED TUBING</t>
  </si>
  <si>
    <t>ENTREGA DE HERRAMIENTA PARA OPERACIONES DIARIAS EN EL EQUIPO COILED TUBING</t>
  </si>
  <si>
    <t>ENTREGA DE CONSUMIBLE PARA OPERACIONES DIARIAS EN EL EQUIPO COILED TUBING</t>
  </si>
  <si>
    <t>ENVIO DE UNIDAD DE BOMBEO PARA RECARGA DE COMBUSTIBLE EN BASE TEPECA</t>
  </si>
  <si>
    <t>ENTREGA DE MATERIAL PARA REPARACION DE CAJA DE FUERZA ASOCIADO AL EQUIPO COILED TUBING</t>
  </si>
  <si>
    <t>ENVIO DE MATERIAL PARA SERVICIO DE MONTURA EN PROVEEDOR EXTERNO SEGÚN ODS: MT-MP-2022-418, TOMADO DE MATERIAL BAJO RESGUARDO DE LA UNIDAD COILED TUBING AUTORIZADO POR EL SR CARLOS MENDOZA PARA REEMPLAZO EN UNIDAD TP-V-007</t>
  </si>
  <si>
    <t>ENTREGA DE MATERIAL PARA INSTALACION EN SISTEMA DE SEGURIDAD DE TANQUE HIDRAULICO ASOCIADA AL EQUIPO COILED TUBING</t>
  </si>
  <si>
    <t>ENTREGA DE CONSUMIBLE PARA COMPLETACION DE NIVEL EN TANQUE HIDRAULICO ASOCIADO AL EQUIPO COILED TUBING</t>
  </si>
  <si>
    <t>RUTINARIO</t>
  </si>
  <si>
    <t>HIGIENE Y SEGURIDAD</t>
  </si>
  <si>
    <t>LIMPIEZA DE CONEXIONES HIDRAULICAS</t>
  </si>
  <si>
    <t>PREVENTIVO</t>
  </si>
  <si>
    <t>TP-DCT-001</t>
  </si>
  <si>
    <t>POWER PACK</t>
  </si>
  <si>
    <t>PREVENCION ANTE FUTURAS FALLAS</t>
  </si>
  <si>
    <t>UNIDAD DE BOMBEO</t>
  </si>
  <si>
    <t>6M-3500-WSP1-R</t>
  </si>
  <si>
    <t>REEMPLAZO DE EMPAQUES EN BOMBA TRIPLEX "A"</t>
  </si>
  <si>
    <t>PRESTAMO PARA PRUEBAS</t>
  </si>
  <si>
    <t>PRESTAMO CON CARÁCTER DEVOLUTIVO</t>
  </si>
  <si>
    <t>CORRECTIVO</t>
  </si>
  <si>
    <t>FRACTURA EN TAPAS DE FLUID-END  "A"</t>
  </si>
  <si>
    <t>ENVIO DE COMPONENTE PARA TOMA DE MEDIDAS EN TALLER EXTERNO "A. MOLINA"</t>
  </si>
  <si>
    <t>FRACTURA EN TAPAS DE FLUID-END  "B"</t>
  </si>
  <si>
    <t>REEMPLAZO DE  FILTRO DE AIRE DEL MOTOR S60</t>
  </si>
  <si>
    <t>FUGA DE REFRIGERANTE, EN SELLO DE LA BOMBA DE REFRIGERANTE</t>
  </si>
  <si>
    <t>ODS</t>
  </si>
  <si>
    <t>GP-CT-2022-004</t>
  </si>
  <si>
    <t>ENVIO DE BOMBA A TALLER EXTERNO "MULTIBOMBAS EL TIGRE C.A"  PARA REEMPLAZO DE SELLOS</t>
  </si>
  <si>
    <t>INSTALACION  DE TAPA  DEL FLUID END "A"</t>
  </si>
  <si>
    <t>INSTALACION  DE TAPA  DEL FLUID END "B"</t>
  </si>
  <si>
    <t>PLANIFICADO</t>
  </si>
  <si>
    <t xml:space="preserve">CERTIFICACION DE COMPONENTE EN TALLER EXTERNO "SEBROMEN,C.A" </t>
  </si>
  <si>
    <t>GP-CT-2022-013</t>
  </si>
  <si>
    <t>INSTALACION DE  BOMBA DE REFRIGERANTE REPARADA EN PROVEEDOR EXTERNO "MULTIBOMBAS EL TIGRE C.A"</t>
  </si>
  <si>
    <t>ADAPTACION DE HERRAMIENTA WELL-VAC Y SAND-VAC EN CT</t>
  </si>
  <si>
    <t>ENVIO DE COMPONENTE PARA MECANIZACION EN TALLER EXTERNO "A. MOLINA"</t>
  </si>
  <si>
    <t>GP-CT-2022-015</t>
  </si>
  <si>
    <t>FALLA EN SISTEMA ELECTRICO</t>
  </si>
  <si>
    <t xml:space="preserve">REEMPLAZO DE FUSIBLE EN PLC DE LA UNIDAD DE BOMBEO </t>
  </si>
  <si>
    <t>REEMPLAZO DE FLUIDO REFRIGERANTE EN UNIDAD DE BOMBEO Y POWER PACK</t>
  </si>
  <si>
    <t>CANOA</t>
  </si>
  <si>
    <t>ADECUACIONES Y REEMPLAZO DE LAMINAS Y FLANGES</t>
  </si>
  <si>
    <t>ENVIO DE COMPONENTE PARA REPARACION EN BASE TEPECA POR PERSONAL DE FABRICACION</t>
  </si>
  <si>
    <t>CAMBIO DE ACEITE DE MOTOR S60</t>
  </si>
  <si>
    <t>REEMPLAZO DE FILTRO PRIMARIO DE COMBUSTIBLE DE MOTOR S60</t>
  </si>
  <si>
    <t>REEMPLAZO DE FILTRO SECUNDARIO DE COMBUSTIBLE DE MOTOR S60</t>
  </si>
  <si>
    <t>REEMPLAZO DE FILTROS DE ACEITE DE MOTOR S60</t>
  </si>
  <si>
    <t>,</t>
  </si>
  <si>
    <t>REEMPLAZO DE FILTRO DE COMBUSTIBLE EN TRAMPA DE AGUA DEL MOTOR S60</t>
  </si>
  <si>
    <t>REEMPLAZO DE FILTRO DE REFRIGERANTE DEL MOTOR S60</t>
  </si>
  <si>
    <t>REEMPLAZO DE FILTRO DEL SISTEMA HIDRAULICO DEL POWER PACK</t>
  </si>
  <si>
    <t>REEMPLAZO DE CORREA DE FAN DEL MOTOR S60</t>
  </si>
  <si>
    <t>REEMPLAZO DE CORREA DE ALTERNADOR DEL MOTOR S60</t>
  </si>
  <si>
    <t>CAMBIO DE ACEITE DEL SISTEMA HIDRAULICO DEL POWER PACK</t>
  </si>
  <si>
    <t xml:space="preserve">REEMPLAZO DE FILTROS EN MOTOR "A" Y "B" </t>
  </si>
  <si>
    <t>CAMBIO DE FILTRO DE COMBUSTIBLE DE MOTOR "A" Y "B"</t>
  </si>
  <si>
    <t>CAMBIO DE ACEITE A MOTOR "A" Y "B"</t>
  </si>
  <si>
    <t xml:space="preserve">LIMPIEZA DE EQUIPO Y VALVULAS </t>
  </si>
  <si>
    <t>CAMBIO DE ACEITE DE SISTEMA HIDRAULICO DE LA UNIDAD DE BOMBEO</t>
  </si>
  <si>
    <t>REEMPLAZO DE CORREA DE FAN DE MOTOR "A" Y "B"</t>
  </si>
  <si>
    <t>SIMPLICACION DE INSTALACION DE LINEAS EN CAMPO</t>
  </si>
  <si>
    <t>INSTALACION DE LINEAS DE SUCCION Y DESCARGA DEL CT</t>
  </si>
  <si>
    <t>TANQUE DE COMBUSTIBLE</t>
  </si>
  <si>
    <t>ADECUACION DE SISTEMA DE DISTRIBUCION DE COMBUSTIBLE EN EL CAMPAMENTO</t>
  </si>
  <si>
    <t>INSTALACION EN BOMBA NEUMATICA DE DIAFRAGMA</t>
  </si>
  <si>
    <t xml:space="preserve">BAJO NIVEL DE ACEITE </t>
  </si>
  <si>
    <t>COMPLETACION DE NIVEL DE ACEITE EN LUBRICACION DE CADENAS DEL INYECTOR</t>
  </si>
  <si>
    <t>REEMPLAZO DE CORREA DE ALTERNADOR DE MOTOR "A" Y "B"</t>
  </si>
  <si>
    <t>STRIPPER</t>
  </si>
  <si>
    <t>INYECTOR</t>
  </si>
  <si>
    <t xml:space="preserve">FATIGA DE ELEMENTOS SELLANTES </t>
  </si>
  <si>
    <t>REEMPLAZO DE PACKER INTERLOCK</t>
  </si>
  <si>
    <t>REEMPLAZO DE NON EXTRUSION</t>
  </si>
  <si>
    <t>REEMPLAZO DE ENERGIZADOR</t>
  </si>
  <si>
    <t>REEMPLAZO DE DISTINTOS SELLOS EN EQUIPOS Y COMPONENTES</t>
  </si>
  <si>
    <t>GENERADOR 10KVA</t>
  </si>
  <si>
    <t>CAMBIO DE ACEITE DE MOTOR DE GENERADOR DE 10KVA</t>
  </si>
  <si>
    <t>REEMPLAZO DE FILTRO DE ACEITE DE MOTOR DE GENERADOR DE 10KVA</t>
  </si>
  <si>
    <t>REEMPLAZO DE FILTRO DE COMBUSTIBLE DE MOTOR DE GENERADOR DE 10KVA</t>
  </si>
  <si>
    <t>REEMPLAZO DE FILTRO DE AIRE DE MOTOR DE GENERADOR DE 10KVA</t>
  </si>
  <si>
    <t>INSTALACION EN TANQUE DE COMBUSTIBLE DEL CAMPAMENTO</t>
  </si>
  <si>
    <t>ADECUACION DEL SISTEMA NEUMATICO DEL CT</t>
  </si>
  <si>
    <t>INSTALACION DE TAPON EN SISTEMA NEUMATICO</t>
  </si>
  <si>
    <t>BAJO NIVEL DE COMBUSTIBLE</t>
  </si>
  <si>
    <t>COMPLETACION DE NIVEL EN BASE TEPECA</t>
  </si>
  <si>
    <t>REEMPLAZO DE SELLO DE VALVULAS DEL FLUID END DE LA BOMBA TRIPLEX "B"</t>
  </si>
  <si>
    <t>DINAMO DAÑADO</t>
  </si>
  <si>
    <t>BUSQUEDA DE COMPONENTE EN PROVEEDORES LOCALES</t>
  </si>
  <si>
    <t>TP-CH-018</t>
  </si>
  <si>
    <t xml:space="preserve">PRESTAMO DE INSUMOS </t>
  </si>
  <si>
    <t>PRESTAMO DE INSUMOS A DPTO. DE MTTO.</t>
  </si>
  <si>
    <t>ENGRASE DE RUTINA A JOINTS SWIVELS EN EQUIPO</t>
  </si>
  <si>
    <t>ENGRASE DE RUTINA VALVULAS DE EN EQUIPO</t>
  </si>
  <si>
    <t>COMPLETACION DE NIVEL DE ACEITE EN LUBRICACION DE PLUNGER DE BOMBAS TRIPLEX "A" Y "B"</t>
  </si>
  <si>
    <t>TP-MT-017</t>
  </si>
  <si>
    <t xml:space="preserve">PRESTAMO DE INSUMOS PARA INSTALACION EN MONTCARGAS HYSTER </t>
  </si>
  <si>
    <t>CAMBIO DE ACEITE EN FLUID END "A" Y "B"</t>
  </si>
  <si>
    <t xml:space="preserve">ADECUACION Y REPARACION DE CANOA </t>
  </si>
  <si>
    <t>FABRICACION DE PERNOS PARA INSTALACION DE VALVULAS MARIPOSAS EN CANOA</t>
  </si>
  <si>
    <t>SENSORES DE PRESION DESCALIBRADOS</t>
  </si>
  <si>
    <t>CALIBRACION DE SENSORES DE PRESION CONVENCIONALES</t>
  </si>
  <si>
    <t>ADECUACION DE SENSOR DE PRESION DESCALIBRADOS</t>
  </si>
  <si>
    <t>INDICADORES DE PRESION HIDRAULICA EXTERIORES DAÑADOS</t>
  </si>
  <si>
    <t>REEMPLAZO DE MANOMETROS EXTERNOS</t>
  </si>
  <si>
    <t>DEVOLUCION POR NO APLICAR A LO REQUERIDO</t>
  </si>
  <si>
    <t>ENVIO DE HERRAMIENTA A BASE TEPECA PARA REEMPLAZO POR PARTE DE PROVEEDOR</t>
  </si>
  <si>
    <t>TP-554</t>
  </si>
  <si>
    <t>TP-552</t>
  </si>
  <si>
    <t>PRESTAMO DE INSUMOS</t>
  </si>
  <si>
    <t>PDV-181</t>
  </si>
  <si>
    <t>SAI-205</t>
  </si>
  <si>
    <t>ENTREGA DE MATERIAL PARA INSTALACION EN EL POWER PACK DEL EQUIPO COILED TUBING</t>
  </si>
  <si>
    <t>INDICADOR DE PRESION HIDRAULICA EXTERIOR DAÑADO</t>
  </si>
  <si>
    <t>REEMPLAZO DE MANOMETRO EXTERNO</t>
  </si>
  <si>
    <t>GP-CL-2022-004</t>
  </si>
  <si>
    <t>ENVIO DE BOMBA A TALLER EXTERNO "MULTIBOMBAS EL TIGRE C.A"  POR GARANTIA</t>
  </si>
  <si>
    <t xml:space="preserve">FUGA DE REFRIGERANTE, EN SELLO DE LA BOMBA DE REFRIGERANTE </t>
  </si>
  <si>
    <t>INSTALACION DE BOMBA DE REFRIGERANTE PROVENIENTE DE PROVEEDOR EXTERNO "MULTIBOMBAS EL TIGRE, C.A" POR GARANTIA</t>
  </si>
  <si>
    <t>MEJORA A SEGURIDAD EN CAJAS DE HERRAMIENTAS</t>
  </si>
  <si>
    <t>INSTALACION EN CONTAINER DE HERRAMIENTAS DEL DPTO.</t>
  </si>
  <si>
    <t>CAMBIO DE ACEITE A GEARBOXES DEL REEL</t>
  </si>
  <si>
    <t xml:space="preserve">BAJO NIVEL DE ACEITE EN CAJA ALLISON DE MOTOR "A" Y "B" </t>
  </si>
  <si>
    <t>COMPLETACION DE NIVEL EN CAJAS ALLISON DE MOTOR "A" Y "B"</t>
  </si>
  <si>
    <t>LIMPIEZA Y ADECUACIONES DE COMPONENTES</t>
  </si>
  <si>
    <t>RUTINAS DE LIMPIEZA Y ADECUACIONES A COMPONENTES Y EQUIPOS ASOCIADOS</t>
  </si>
  <si>
    <t>ENTREGA DE CONSUMIBLE PARA COMPLETACION DE NIVEL EN CAJA DE VELOCIDAD DE LA UNIDAD DE BOMBEO ASOCIADA AL EQUIPO COILED TUBING UBICADA EN BASE SAI</t>
  </si>
  <si>
    <t>ADECUACION ELECTRICA</t>
  </si>
  <si>
    <t>INSTALACION DE PLUG Y RECEPTACULO PARA ALIMENTACION DE A/A DE POWER PACK Y REEL</t>
  </si>
  <si>
    <t>ADECUACION VIENTOS DEL INYECTOR</t>
  </si>
  <si>
    <t>INSTALACION GRAMPAS EN VIENTOS DEL INYECTOR</t>
  </si>
  <si>
    <t>INEFICIENTE METODO DE IDENTIFICACION DE LINEAS HIDRAULICAS DE BACK-UP</t>
  </si>
  <si>
    <t>IDENTIFICACION DE LINEAS HIDRAULICAS DE BACK-UP</t>
  </si>
  <si>
    <t>BAJO NIVEL DE REFRIGERANTE DE MOTOR "B" POR CONSTANTE MONTAJE Y DESMONTAJE DE BOMBA DE REFRIGERANTE</t>
  </si>
  <si>
    <t>COMPLETACION DE NIVEL DE REFRIGERANTE EN MOTOR "B"</t>
  </si>
  <si>
    <t>RESTAURACION Y REPARACION EN BASE TEPECA</t>
  </si>
  <si>
    <t>ENVIO DE COMPONENTE PARA ADECUACION DE TAQUE POR PARTE DE PERSONAL DE FABRICACION EN BASE TEPECA</t>
  </si>
  <si>
    <t>ENVIO DE COMPONENTE PARA FABRICACION DE HERRAMIENTAS DE ARMADO DE EQUIPOS DE SUPERFICIE</t>
  </si>
  <si>
    <t>TANQUE DE ALMACENAMIENTO</t>
  </si>
  <si>
    <t>INSTALACION DE TAPON EN TRANQUE DE ALMACENAMIENTO</t>
  </si>
  <si>
    <t>TANQUE DE SUMINISTRO</t>
  </si>
  <si>
    <t>ENVIO DE MATERIAL PARA FABRICACION DE MANIFOLD DEL TANQUE DE SUMINISTRO ASOCIADO A LA UNIDAD COILED TUBING</t>
  </si>
  <si>
    <t>INSTALACION EN MANIFOLD DEL TANQUE DE SUMINISTRO DEL EQUIPO CT</t>
  </si>
  <si>
    <t xml:space="preserve">INSTALACION Y PRUEBA DE DINAMO EN GENERADOR DE 10KVA </t>
  </si>
  <si>
    <t>ADECUACION Y REPARACION DE SISTEMA DE COMBUSTIBLE DEL CAMPAMENTO</t>
  </si>
  <si>
    <t>INSTALACION DE BOMBA DE DIAFRAGMA EN TANQUE DE COMBUSTIBLE DEL CAMPAMENTOS</t>
  </si>
  <si>
    <t>LIMPIEZA DE EQUIPOS Y DESARROLLO DE FABRICACIONES</t>
  </si>
  <si>
    <t>PRESTAMOS DE INSUMOS A PERSONAL DE MTTO.</t>
  </si>
  <si>
    <t>FABRICACION DE EMPACADURAS EN TANQUES</t>
  </si>
  <si>
    <t>ADECUACIONES DE COMPONENTE EN BASE SAI</t>
  </si>
  <si>
    <t>INSTALACION DE FILTROS EN UNIDAD DE FILTRADO DEL CT</t>
  </si>
  <si>
    <t>UNIDAD DE FILTRADO</t>
  </si>
  <si>
    <t>REACONDICIONAMIENTO DE LINEA DE LUBRICACION DEL INYECTOR</t>
  </si>
  <si>
    <t>INSTALACION DE LINEAS DE LUBRICACION DEL INYECTOR</t>
  </si>
  <si>
    <t>BAJO NIVEL DE ACEITE</t>
  </si>
  <si>
    <t>COMPLETACION DE NIVEL DE ACEITE DE MOTOR DE GENERADOR DE 10KVA</t>
  </si>
  <si>
    <t>ADECUACIONES E INSTALACIONES EN BASE TEPECA</t>
  </si>
  <si>
    <t>INSTALACION DE KIT DE BLOQUEO EN CAJA DE HERRAMIENTAS DE CT</t>
  </si>
  <si>
    <t>LIMPIEZA DE EQUIPOS Y COMPONENTES ASOCIADOS</t>
  </si>
  <si>
    <t>CAMBIO DE ACEITE A GEARBOXES DEL INYECTOR</t>
  </si>
  <si>
    <t>ENTREGA DE MATERIAL PARA INSTALACION EN EL SISTEMA HIDRAULICO DEL POWER PACK ASOCIADO AL EQUIPO COILED TUBING</t>
  </si>
  <si>
    <t>INDICADOR DE PRESION HIDRAULICA DAÑADO</t>
  </si>
  <si>
    <t>REEMPLAZO DE MANOMETRO</t>
  </si>
  <si>
    <t>BAJO NIVEL DE ACEITE EN GEARBOXES DEL REEL</t>
  </si>
  <si>
    <t>COMPLETACION DE NIVEL DE ACEITE EN GEARBOXES DEL REEL</t>
  </si>
  <si>
    <t>REQUISICION DE HERRAMIENTAS PARA DESARROLLO DE ACTIVIDADES</t>
  </si>
  <si>
    <t>ENTREGA DE HERRAMIENTAS A PERSONAL DE CT</t>
  </si>
  <si>
    <t>JGO DE DADOS ESTRIADOS 3/8" A 1-1/4" CON CUADRANTE 1/2" / MOD: J54126</t>
  </si>
  <si>
    <t>ENGRASE DE EQUIPOS Y COMPONENTES</t>
  </si>
  <si>
    <t>ENGRASE DE EQUIPOS Y COMPONENTES SEGÚN RUTINA DE MTTO</t>
  </si>
  <si>
    <t>COMPLETACION DE NIVEL DE COMBUSTIBLE EN BASE TEPECA</t>
  </si>
  <si>
    <t>CASA DE FUERZA</t>
  </si>
  <si>
    <t>ADECUACION Y RESTAURACION DE CASA DE FUERZA</t>
  </si>
  <si>
    <t>REPARACION DE CASA DE FUERZA ASOCIADA AL CAMPAMENTO DE CT</t>
  </si>
  <si>
    <t>TP-V-007</t>
  </si>
  <si>
    <t>MEJORA A SEGURIDAD EN RESERVORIO DE LUBRICANTES</t>
  </si>
  <si>
    <t>INSTALACION DE SISTEMA DE SEGURIDAD EN RESERVORIO DE LUBRICANTES</t>
  </si>
  <si>
    <t>BAJO NIVEL DE ACEITE HIDRAULICO</t>
  </si>
  <si>
    <t>COMPLETACION DE NIVEL DE ACEITE EN SISTEMA HIDRAULICO</t>
  </si>
  <si>
    <t>RESUMEN DE MATERIALES</t>
  </si>
  <si>
    <t>CANT. REQ.</t>
  </si>
  <si>
    <t>IN</t>
  </si>
  <si>
    <t>OUT</t>
  </si>
  <si>
    <t>CANT. DISP.</t>
  </si>
  <si>
    <t xml:space="preserve">OBSERVACION </t>
  </si>
  <si>
    <t>LT</t>
  </si>
  <si>
    <t>FILTRO DE AIRE P181099</t>
  </si>
  <si>
    <t>FILTRO DE ACEITE 51971 / P552100 / ML-25971</t>
  </si>
  <si>
    <t>FILTRO DE COMB. TRAMPA DE AGUA  33651 / MF-61492 / WC-7772A</t>
  </si>
  <si>
    <t xml:space="preserve">ARRANQUE NEUMATICO, MOD:150BMP88RS4-200 </t>
  </si>
  <si>
    <t>BOMBA DE AGUA P/N;23522721</t>
  </si>
  <si>
    <t>ALTERNADOR 27V DC 70A</t>
  </si>
  <si>
    <t>COMPRESOR NEUMATICO TUFLO 550</t>
  </si>
  <si>
    <t>BOMBA DE TRANSFERENCIA P/N:23532981</t>
  </si>
  <si>
    <t>ECU P/N: 6DD4408E09</t>
  </si>
  <si>
    <t>REFRIGERANTE ANTICORROSIVO ROJO</t>
  </si>
  <si>
    <t>TURBOCARGADOR P/N:451357-15</t>
  </si>
  <si>
    <t>TAPA DE RADIADOR</t>
  </si>
  <si>
    <t xml:space="preserve">FILTRO </t>
  </si>
  <si>
    <t>VALVULA DE BOMBA TRIPLEX DE 3-1/2", P/N: MV-647 / P100028516A</t>
  </si>
  <si>
    <t>RESORTE DE VALVULA, P/N: 1235-199 / 3102007667</t>
  </si>
  <si>
    <t>ASIENTO DE VALVULA DE 3-1/2", P/N: MS-642 / 3102008072</t>
  </si>
  <si>
    <t>LANTERN RING 3-1/2", P/N: 6M-3500-WSP1-LR</t>
  </si>
  <si>
    <t xml:space="preserve">PACKING DE BOMBA TRIPLEX DE 3-1/2", P/N: 6M-3500-WSPI-R </t>
  </si>
  <si>
    <t xml:space="preserve">BOMBA DE ACEITE </t>
  </si>
  <si>
    <t>MECHANIC SEAL P/N:22451-1</t>
  </si>
  <si>
    <t>EMPELLE 6X5X11</t>
  </si>
  <si>
    <t>RODAMIENTO FRONTAL P/N: TS-661009010</t>
  </si>
  <si>
    <t>RODAMIENTO TRASERO P/N: TS-648408201S</t>
  </si>
  <si>
    <t>PACKING SHAFT P/N:25014-04M-B</t>
  </si>
  <si>
    <t>SLEVEE SHAFT P/N: 20943-21</t>
  </si>
  <si>
    <t>OIL SEAL, LB. BEARING COVER, P/N:20619-01</t>
  </si>
  <si>
    <t>OIL SEAL, OB. BEARING COVER, P/N:20619-02</t>
  </si>
  <si>
    <t xml:space="preserve">MOTOR HIDRAULICO, P/N:14K03 065 </t>
  </si>
  <si>
    <t xml:space="preserve">VALVULA DE BOMBA TRIPLEX DE 3" P/N: MV-621 </t>
  </si>
  <si>
    <t>ASIENTO DE VALVULA DE 3" P/N: MS-621</t>
  </si>
  <si>
    <t>RESORTE DE VALVULA, P/N: 3102008078</t>
  </si>
  <si>
    <t>LANTERN RING 3", P/N: 6M-3000-WSP1-LR</t>
  </si>
  <si>
    <t xml:space="preserve">VALVULA MARIPOSA DE 3" (TEFLON) X 150PSI </t>
  </si>
  <si>
    <t>VALVULA MARIPOSA DE 4" (TEFLON) X 150PSI</t>
  </si>
  <si>
    <t xml:space="preserve">VALVULA MARIPOSA DE 5" (TEFLON) X 150PSI </t>
  </si>
  <si>
    <t>VALVULA MARIPOSA DE 6" (TEFLON) X 150PSI</t>
  </si>
  <si>
    <t>VALVULA  FIG1502 DE 2" X 1"</t>
  </si>
  <si>
    <t>VALVULA  FIG1502 DE 2" X 2"</t>
  </si>
  <si>
    <t>TOOL POOL DE 0-16000PSI</t>
  </si>
  <si>
    <t>BATERIA DE ARRANQUE 30H 12V 1100A</t>
  </si>
  <si>
    <t>FARO LED 4" 24V DC 75W</t>
  </si>
  <si>
    <t>VALVULA SOLENOIDE SMC MOD: VT315-D250</t>
  </si>
  <si>
    <t>NEUMATICO 12-00-R20</t>
  </si>
  <si>
    <t>VALVULA NEUMATICA REXROTH MOD: 2HA-2</t>
  </si>
  <si>
    <t>MANOMETRO DE 0-200PSI</t>
  </si>
  <si>
    <t>CHAMBER DE FRENO 30/30</t>
  </si>
  <si>
    <t>AIR SPRING, MOD: 0542940010</t>
  </si>
  <si>
    <t xml:space="preserve">VALVULA GOBERNADORA MOD: D-2, P/N:K025894 </t>
  </si>
  <si>
    <t>FILTRO SECANTE  MOD: BENDIX  AD-9</t>
  </si>
  <si>
    <t>FILTRO  DE SUCCION</t>
  </si>
  <si>
    <t xml:space="preserve">FILTRO DE RETORNO </t>
  </si>
  <si>
    <t>ACEITE HIDRAULICO ISO-68</t>
  </si>
  <si>
    <t xml:space="preserve">HIDROFRENO P/N: 13-547-498 </t>
  </si>
  <si>
    <t>GEARBOX</t>
  </si>
  <si>
    <t>ACEITE DE TRANSMISION 75W90</t>
  </si>
  <si>
    <t>CILINDRO HIDRAULICO DE TENSION P/N: INJ-411</t>
  </si>
  <si>
    <t>CILINDRO HIDRAULICO DE TRACCION P/N: INJ-506</t>
  </si>
  <si>
    <t>FILTRO DE ALTA PRESION P/N: HPK04W9B1614UMX</t>
  </si>
  <si>
    <t>GRIPERS BLOCK PO#11868 VB3-238</t>
  </si>
  <si>
    <t>CHAIN ROLLER, 120-0-BOX P/N: X-1233-0</t>
  </si>
  <si>
    <t>FT</t>
  </si>
  <si>
    <t>CADENA DE TENSION 160-1</t>
  </si>
  <si>
    <t>CELDA DE PESO, MOD: GT2450/3250-65KLBBTC301</t>
  </si>
  <si>
    <t>FILTRO HIDRAULICO</t>
  </si>
  <si>
    <t>MOTOR HIDRAULICO, P/N: AA6VM160HD1 / 63W-VSD520B</t>
  </si>
  <si>
    <t>BUSHING UPPER, P/N: 9705-1161</t>
  </si>
  <si>
    <t>BUSHING PACKER, P/N: 2000-9561</t>
  </si>
  <si>
    <t>BUSHING GUIDE, P/N: 2000-9661</t>
  </si>
  <si>
    <t>BUSHING TOP, P/N: 2000-9761</t>
  </si>
  <si>
    <t>PACKER INTERLOOK 2,375", P/N: 8412-6061</t>
  </si>
  <si>
    <t>RING GASKET BX155</t>
  </si>
  <si>
    <t>MOTOR HIDRAULICO, P/N:M015-61-1S-006-31-B1-QB-000</t>
  </si>
  <si>
    <t>GEARBOX,  P/N:3469070</t>
  </si>
  <si>
    <t>HIDROFRENO P/N:13-547-203</t>
  </si>
  <si>
    <t>RODAMIENTO, P/N: 516DLG</t>
  </si>
  <si>
    <t>RODAMIENTO, P/N: 6201</t>
  </si>
  <si>
    <t>NEUMATICO 275/70/R22,5</t>
  </si>
  <si>
    <t>VALVULA  NEUMATICA QUICK RELEASE P/N:229859</t>
  </si>
  <si>
    <t>FARO LED 4" 12V DC 30W</t>
  </si>
  <si>
    <t>FILTRO P. DE COMB. 33118 / P556915</t>
  </si>
  <si>
    <t>FILTRO S. DE COMB. 33120 / P556916 / F3120</t>
  </si>
  <si>
    <t>FILTRO TRAMPA DE AGUA 33792 / FC33792 / PP-2020</t>
  </si>
  <si>
    <t>FILTRO DE RERIGERANTE 23516489 / BW5200 / DBC4088</t>
  </si>
  <si>
    <t>MOTOR DE ARRANQUE MOD: 50MT</t>
  </si>
  <si>
    <t>TURBOCARGADOR P/N:P359095</t>
  </si>
  <si>
    <t>ALTERNADOR 14V DC 150A</t>
  </si>
  <si>
    <t>ECU DDC:P23535798 MODEL: 6DD4408E09</t>
  </si>
  <si>
    <t>FILTRO HIDRAULICO 51730 / BT8879-MPG / P165659</t>
  </si>
  <si>
    <t>BOMBA HIDRAULICA, MOD: 90RR50H1CD8014F1K03NNN353524</t>
  </si>
  <si>
    <t>FILTRO DE AIRE P822686 / AF25538 / 46449</t>
  </si>
  <si>
    <t>FILTRO DE COMB P.  33063 / FP888 / FFP550888</t>
  </si>
  <si>
    <t>FILTRO DE ACEITE 51085 / P550963 / AF-43 / W-16</t>
  </si>
  <si>
    <t>MOTOR DE ARRANQUE P/N:6A320-5921-0</t>
  </si>
  <si>
    <t>AIR SPRING, MOD: 566283020</t>
  </si>
  <si>
    <t>FAROS LED 12V DC 30W</t>
  </si>
  <si>
    <t>BELT, A, 1/2 X 70IN OC, 3BAND</t>
  </si>
  <si>
    <t>COILED TUBING-009</t>
  </si>
  <si>
    <t>3/A68</t>
  </si>
  <si>
    <t>BELT 17, 0.53 X 51.27 IN OC</t>
  </si>
  <si>
    <t>ACCUMULATOR PISTON TYPE 1 QUART 3000 PSI</t>
  </si>
  <si>
    <t>COILED TUBING-005</t>
  </si>
  <si>
    <t>HD-2800001</t>
  </si>
  <si>
    <t>2" FIGURE 1502 RELIEF VALVE ADJUSMENT SCREW KIT</t>
  </si>
  <si>
    <t>COILED TUBING-002</t>
  </si>
  <si>
    <t>2RV090920-K5</t>
  </si>
  <si>
    <t>2" FIGURE 1502 RELIEF VALVE SEAL KIT</t>
  </si>
  <si>
    <t>2RV090920-K2</t>
  </si>
  <si>
    <t>2" FIGURE 1502 RELIEF VALVE BALL Y SEAL KIT</t>
  </si>
  <si>
    <t>2RV090920-K1</t>
  </si>
  <si>
    <t>2" FIGURE 1502 RELIEF VALVE REBUILD KIT</t>
  </si>
  <si>
    <t>2RV090920-KR</t>
  </si>
  <si>
    <t>PREOTECCION DE LA CORREA DEL ALTERNADOR</t>
  </si>
  <si>
    <t>COILED TUBING-003</t>
  </si>
  <si>
    <t>UEDD60FD07</t>
  </si>
  <si>
    <t>PROTECTOR DE LA CORREA DEL VENTILADOR RH</t>
  </si>
  <si>
    <t>UEDD60FD05</t>
  </si>
  <si>
    <t>PROTECTOR DE LA CORREA DEL VENTILADOR</t>
  </si>
  <si>
    <t>UEDD60FD04</t>
  </si>
  <si>
    <t>RAM CHANGE ROD</t>
  </si>
  <si>
    <t>8741-0124B</t>
  </si>
  <si>
    <t>RAM CHANGE SCREW EH QUAD</t>
  </si>
  <si>
    <t>8412-2631B</t>
  </si>
  <si>
    <t>INJ-506</t>
  </si>
  <si>
    <t>FILTER ELEMENT 16" 10 MICRON</t>
  </si>
  <si>
    <t>COILED TUBING-004</t>
  </si>
  <si>
    <t>P167188</t>
  </si>
  <si>
    <t>CUSTOM CABLE- C046-150 3 CONDUCTOR, 18 AWG, 150", 3 PIN PLUG MALE W/CAP X 3 PIN MILITARY PLUG FEMALE W/CAP</t>
  </si>
  <si>
    <t>C-3C18-150-3MPMC-3MPF</t>
  </si>
  <si>
    <t>CUSTOM CABLE - C148-050 4 CONDUCTOR, 18 AWG, 50", 6 PIN BAYONET PLUG MALE X 7 PIN MILITARY PLUG FEMALE</t>
  </si>
  <si>
    <t>C-4C18-50-6BPM-7MPF</t>
  </si>
  <si>
    <t>CUSTOM CABLE - C148-150 4 CONDUCTOR, 18 AWG, 50", 6 PIN BAYONET PLUG MALE X 7 PIN MILITARY PLUG FEMALE</t>
  </si>
  <si>
    <t>COILED TUBING-001</t>
  </si>
  <si>
    <t>C-4C18-150-6BPM-7MPF</t>
  </si>
  <si>
    <t>CUSTOM CABLE - C127-050 4 CONDUCTOR, FOILED Y DRAINED, TWISTED Y SHIELED, 18 AWG, 50", 6 PIN BAYONET RECEPTACLE MALE X 7 PIN MILITARY PLUG FEMALE</t>
  </si>
  <si>
    <t>C-4C18FD-50-6BPM-7MPF</t>
  </si>
  <si>
    <t>CUSTOM CABLE - C068-150 3 CONDUCTOR, 18 AWG, 150", 6 PIN BAYONET PLUG MALE W/CAP X 6 PIN BAYONET PLUG FEMALE W/CAP</t>
  </si>
  <si>
    <t>C-3C18-150-6BPMC-6BPFC</t>
  </si>
  <si>
    <t>ENSAMBLAJE DE FILTRO MEDIANO PR 1.25 SAE</t>
  </si>
  <si>
    <t>1010-0331</t>
  </si>
  <si>
    <t>KIT DE LA CAMARA DE AIRE 15 GAL ACC 3K PSI</t>
  </si>
  <si>
    <t>COILED TUBING-010</t>
  </si>
  <si>
    <t>1010-3185</t>
  </si>
  <si>
    <t>KIT DE LA CAMARA DE AIRE 10 GAL ACC 3K PSI</t>
  </si>
  <si>
    <t>1010-0547</t>
  </si>
  <si>
    <t>MAS 1 UND CONTABILIZADA</t>
  </si>
  <si>
    <t>GREASE OPEN GEAR</t>
  </si>
  <si>
    <t>1099-0753</t>
  </si>
  <si>
    <t>KIT DE SELLOS PARA 0990901</t>
  </si>
  <si>
    <t>COILED TUBING-006</t>
  </si>
  <si>
    <t>SKS-TO-0990901-R.A</t>
  </si>
  <si>
    <t>CONTADOR DE PATINES</t>
  </si>
  <si>
    <t>2001-0090</t>
  </si>
  <si>
    <t>FILTRO HIDRAULICO DE ALTA PRESION</t>
  </si>
  <si>
    <t>1010-1299</t>
  </si>
  <si>
    <t>FILTRO HIDRAULICO 2.87 OD X 1.5 ID / P572998</t>
  </si>
  <si>
    <t>1008-0629</t>
  </si>
  <si>
    <t>CONTADOR O CABEZA DE CABALLO</t>
  </si>
  <si>
    <t>INJ-IMP-CNT</t>
  </si>
  <si>
    <t>STUD 1.000 8 UNC X 7.250</t>
  </si>
  <si>
    <t>7949-1672B</t>
  </si>
  <si>
    <t>NUT HEX 1.125 8 UN HVY</t>
  </si>
  <si>
    <t>7937-0818B</t>
  </si>
  <si>
    <t>3" PLUNGER SPRAY METAL</t>
  </si>
  <si>
    <t>PL30-300</t>
  </si>
  <si>
    <t>PLUNGER 3.5"</t>
  </si>
  <si>
    <t>PLUG 2"</t>
  </si>
  <si>
    <t>BH0024</t>
  </si>
  <si>
    <t>INSERT SET 2"</t>
  </si>
  <si>
    <t>BH0027</t>
  </si>
  <si>
    <t>PLUG VALVE KIT 2"</t>
  </si>
  <si>
    <t>BH0228-KIT</t>
  </si>
  <si>
    <t>2000-9661</t>
  </si>
  <si>
    <t>BUSHING UPPER</t>
  </si>
  <si>
    <t>9705-1161</t>
  </si>
  <si>
    <t>2000-9561</t>
  </si>
  <si>
    <t>2000-9761</t>
  </si>
  <si>
    <t>SLIP INSERT</t>
  </si>
  <si>
    <t>2000-3051</t>
  </si>
  <si>
    <t>RETAINER BAR</t>
  </si>
  <si>
    <t>8308-2124</t>
  </si>
  <si>
    <t>FRONT SEAL</t>
  </si>
  <si>
    <t>7804-3661</t>
  </si>
  <si>
    <t>SEAL KIT</t>
  </si>
  <si>
    <t>COILED TUBING-008</t>
  </si>
  <si>
    <t>EH44-SK02B</t>
  </si>
  <si>
    <t>KIT DE MARCA PARA EL DUAL PACKER</t>
  </si>
  <si>
    <t>DSU4-TAG1</t>
  </si>
  <si>
    <t xml:space="preserve">RODAMIENTOS </t>
  </si>
  <si>
    <t>7805-1138</t>
  </si>
  <si>
    <t>SHEAR BLADE</t>
  </si>
  <si>
    <t>9206-0522</t>
  </si>
  <si>
    <t>RETAINER PIN</t>
  </si>
  <si>
    <t>8041-0143</t>
  </si>
  <si>
    <t>CUCHILLA DE CORTE</t>
  </si>
  <si>
    <t>9206-0521</t>
  </si>
  <si>
    <t>TUERCA (SHCS .625 11 UNC X 1.750</t>
  </si>
  <si>
    <t>7935-1007</t>
  </si>
  <si>
    <t>KIT DE SELLOS PARA LAS VALVULAS ECUALIZADORAS</t>
  </si>
  <si>
    <t>EVA4-S000</t>
  </si>
  <si>
    <t>KIT DE SELLOS 4.06 ARRIBA X 7 ABAJO</t>
  </si>
  <si>
    <t>DSU4-SK01</t>
  </si>
  <si>
    <t>1 UND DAÑADA</t>
  </si>
  <si>
    <t>STUD TAP END 750-10UN X 4,00</t>
  </si>
  <si>
    <t>P601004717B</t>
  </si>
  <si>
    <t>ADPT FLG 2,00 10M H2S BX-152 1502</t>
  </si>
  <si>
    <t>CA1A-4159B</t>
  </si>
  <si>
    <t>NUT HEX .750 10UNC HVY</t>
  </si>
  <si>
    <t>7937-0512B</t>
  </si>
  <si>
    <t>REAR SEAL</t>
  </si>
  <si>
    <t>7804-2537</t>
  </si>
  <si>
    <t>HEX CAPSCREW</t>
  </si>
  <si>
    <t>7959-3006</t>
  </si>
  <si>
    <t>NIPPLE Q-D .250 FNPT TEXAS OIL TOOLS</t>
  </si>
  <si>
    <t>7934-1334</t>
  </si>
  <si>
    <t>PLUG 0.125 NPT HEX HD TEXAS OIL TOOLS</t>
  </si>
  <si>
    <t>7934-1004</t>
  </si>
  <si>
    <t>PLUG SOCKET HD .313-24UNF-2B TEXAS OIL TOOLS</t>
  </si>
  <si>
    <t>7934-0202</t>
  </si>
  <si>
    <t>1.219" DIAMETER INJECTOR SKATE ROLLERS</t>
  </si>
  <si>
    <t>INJ-507</t>
  </si>
  <si>
    <t>ROLLER CHAIN LINK PIN 100-3</t>
  </si>
  <si>
    <t>ST-00002</t>
  </si>
  <si>
    <t>ELECTRIC LOAD CELL ROD</t>
  </si>
  <si>
    <t>INJ-EL-113</t>
  </si>
  <si>
    <t>ELECTRIC LOAD CELL ADAPTER</t>
  </si>
  <si>
    <t>INJ-EL-111</t>
  </si>
  <si>
    <t>ROLLER CHAIN PRESS PEANUT</t>
  </si>
  <si>
    <t>ST-00005</t>
  </si>
  <si>
    <t>ELECTRIC LOAD CELL SUPPORT</t>
  </si>
  <si>
    <t>INJ-EL-112</t>
  </si>
  <si>
    <t>ENCODER 200 PPS</t>
  </si>
  <si>
    <t>EL-00005</t>
  </si>
  <si>
    <t>GRACO REPLACEMENT FILTER</t>
  </si>
  <si>
    <t>GRACO-563510</t>
  </si>
  <si>
    <t>1100/1130 TENSION CYLINDER SLEEVE</t>
  </si>
  <si>
    <t>INJ-434</t>
  </si>
  <si>
    <t>CHAIN TENSION CYLINDER</t>
  </si>
  <si>
    <t>INJ-421</t>
  </si>
  <si>
    <t>INJ-411</t>
  </si>
  <si>
    <t>RETAINING RINGS</t>
  </si>
  <si>
    <t>150296S6</t>
  </si>
  <si>
    <t>CHROME STEEL BALLS</t>
  </si>
  <si>
    <t>1503SJB38</t>
  </si>
  <si>
    <t>BALL PLUG RETAINING RING</t>
  </si>
  <si>
    <t>1503SJR69</t>
  </si>
  <si>
    <t>BALL PLUG</t>
  </si>
  <si>
    <t>1503SJP63</t>
  </si>
  <si>
    <t>GRASE DUST SEAL PACKING</t>
  </si>
  <si>
    <t>1503SJDS</t>
  </si>
  <si>
    <t>LUBE PLUG SEAL</t>
  </si>
  <si>
    <t>1503SJLP</t>
  </si>
  <si>
    <t>SWIVEL JOINT O-RING (BACKUP SEAL)</t>
  </si>
  <si>
    <t>1502SJ2094</t>
  </si>
  <si>
    <t>NITRILE PACKING W/ANTI EXTRUSION RING</t>
  </si>
  <si>
    <t>1502SJ95</t>
  </si>
  <si>
    <t>7935-0603</t>
  </si>
  <si>
    <t>WRENCH HEX .250 LONG HANDLE T.O.T</t>
  </si>
  <si>
    <t>7940-2501</t>
  </si>
  <si>
    <t>ADAPTER (#12 SAE, 3/4" NPT) (NOT SHOWN)</t>
  </si>
  <si>
    <t>7934-0513</t>
  </si>
  <si>
    <t>FLUID LEVEL GAUCE</t>
  </si>
  <si>
    <t>HD-3300001</t>
  </si>
  <si>
    <t>PATIN DE CADENA REMACHADO #60 - 1 REMACHADO</t>
  </si>
  <si>
    <t>1015-0001</t>
  </si>
  <si>
    <t>COJINETES DE LEVA 3.5 OD</t>
  </si>
  <si>
    <t>1010-0536</t>
  </si>
  <si>
    <t>DIAFRAGMA</t>
  </si>
  <si>
    <t>1008-0090</t>
  </si>
  <si>
    <t>RESORTE 1.25 OD X 0.135</t>
  </si>
  <si>
    <t>1002-0435</t>
  </si>
  <si>
    <t>ENSAMBLAJE DE SOPORTE Y PALANCA DE LEVA</t>
  </si>
  <si>
    <t>1005-0009</t>
  </si>
  <si>
    <t>PANEL DEL REGULADOR NEUMATICO</t>
  </si>
  <si>
    <t>1005-0035</t>
  </si>
  <si>
    <t>VALVULA DE 3 PASOS DE LA PALANCA DE LEVA</t>
  </si>
  <si>
    <t>1005-0010</t>
  </si>
  <si>
    <t>EJE DEL ADAPTADOR DEL MOTOR DEL VENTILADOR</t>
  </si>
  <si>
    <t>1010-0887</t>
  </si>
  <si>
    <t xml:space="preserve">VALVULA NEUMATICA 1 SECCION </t>
  </si>
  <si>
    <t>1005-0544</t>
  </si>
  <si>
    <t>COJINETES DE BOLA 1.0 CALIBRE 2.0 OD</t>
  </si>
  <si>
    <t>1010-0939</t>
  </si>
  <si>
    <t>COJINETE DE BOLA 1.0 OD X 2.0 OD</t>
  </si>
  <si>
    <t>1010-0318</t>
  </si>
  <si>
    <t>COJINETE DE BOLA 12MM</t>
  </si>
  <si>
    <t>1010-0317</t>
  </si>
  <si>
    <t>NUT HEX 1.000 8UNC</t>
  </si>
  <si>
    <t>7937-0816B</t>
  </si>
  <si>
    <t>KIT DE SELLOS EH44 BONNET</t>
  </si>
  <si>
    <t>EH44-SK-05</t>
  </si>
  <si>
    <t>KIT DE SELLOS EH44 QUAD</t>
  </si>
  <si>
    <t>EH44-SK01</t>
  </si>
  <si>
    <t>BH0067</t>
  </si>
  <si>
    <t>3" SEAK INPUT SHAFT</t>
  </si>
  <si>
    <t>P107906</t>
  </si>
  <si>
    <t>3-1/2" DEFLECTOR O-RING</t>
  </si>
  <si>
    <t>P106916</t>
  </si>
  <si>
    <t>CLIPS</t>
  </si>
  <si>
    <t>C060007753</t>
  </si>
  <si>
    <t>COMBINED SEAL</t>
  </si>
  <si>
    <t>3102050606A</t>
  </si>
  <si>
    <t>RUBBER SEALING GASKET 3"</t>
  </si>
  <si>
    <t>RUBBER SEALING GASKET 5"</t>
  </si>
  <si>
    <t>RUBBER SEALING GASKET 6"</t>
  </si>
  <si>
    <t>6M-3000-WSP1-LR</t>
  </si>
  <si>
    <t>CAPSCREW</t>
  </si>
  <si>
    <t>WASHER 3/4" FLAT HARDENED (HARDWARE)</t>
  </si>
  <si>
    <t>O-RING MAG SHAFT SLEEVE (HARDWARE)</t>
  </si>
  <si>
    <t>23444-01-72</t>
  </si>
  <si>
    <t>CERM. COATED SHAFT</t>
  </si>
  <si>
    <t>H20613-21G-7A</t>
  </si>
  <si>
    <t>H22451-1A</t>
  </si>
  <si>
    <t>CIRCUIT BREAKER 2571A</t>
  </si>
  <si>
    <t>C060022571A</t>
  </si>
  <si>
    <t>SIDE LIGHT 2327</t>
  </si>
  <si>
    <t>C060012327</t>
  </si>
  <si>
    <t>SIDE LIGHT 1813</t>
  </si>
  <si>
    <t>C060011813</t>
  </si>
  <si>
    <t>RELAY HEAD 7447</t>
  </si>
  <si>
    <t>C060007447</t>
  </si>
  <si>
    <t>CIRCUIT BREAKER 7201</t>
  </si>
  <si>
    <t>C060007201</t>
  </si>
  <si>
    <t>TEMPERATURE SENSOR 0599</t>
  </si>
  <si>
    <t>C050010599</t>
  </si>
  <si>
    <t xml:space="preserve">PRESSURE SENSOR </t>
  </si>
  <si>
    <t>C050010578</t>
  </si>
  <si>
    <t>PRESSURE TRANSMITTER 0369</t>
  </si>
  <si>
    <t>C050010369</t>
  </si>
  <si>
    <t>TEMPERATURE SENSOR 7731</t>
  </si>
  <si>
    <t>C050007731</t>
  </si>
  <si>
    <t>ANILLO DE LINTERNA</t>
  </si>
  <si>
    <t>O-RING 343</t>
  </si>
  <si>
    <t>GASKET 2,75 - 3 (3102050608)</t>
  </si>
  <si>
    <t>G-5700</t>
  </si>
  <si>
    <t>MS-621</t>
  </si>
  <si>
    <t>3-1/2" DEFLECTOR</t>
  </si>
  <si>
    <t>2P107976</t>
  </si>
  <si>
    <t>3-1/2" PONY ROD SEAL</t>
  </si>
  <si>
    <t>P102208HP</t>
  </si>
  <si>
    <t>3-1/2" OIL SEAL IMPUT SHAFT</t>
  </si>
  <si>
    <t>P107907</t>
  </si>
  <si>
    <t>GASKET CASING</t>
  </si>
  <si>
    <t>COILED TUBING-007</t>
  </si>
  <si>
    <t>H10399-46-1</t>
  </si>
  <si>
    <t>RELAY HEAD 7719</t>
  </si>
  <si>
    <t>C060007719</t>
  </si>
  <si>
    <t>RELAY BASE</t>
  </si>
  <si>
    <t>C060007657</t>
  </si>
  <si>
    <t>SPEED SENSOR</t>
  </si>
  <si>
    <t>C050045844</t>
  </si>
  <si>
    <t>MIA-64</t>
  </si>
  <si>
    <t>O-RING 2503</t>
  </si>
  <si>
    <t>P100002503</t>
  </si>
  <si>
    <t>CIRCUIT BREAKER BASE</t>
  </si>
  <si>
    <t>C0600022572A</t>
  </si>
  <si>
    <t>CIRCUIT BRAKER 2569A</t>
  </si>
  <si>
    <t>C0600022569A</t>
  </si>
  <si>
    <t>LIGHT 7752</t>
  </si>
  <si>
    <t>C060007752</t>
  </si>
  <si>
    <t>LIGHT 7541</t>
  </si>
  <si>
    <t>C060007541</t>
  </si>
  <si>
    <t>CIRCUIT BREAKER 7338</t>
  </si>
  <si>
    <t>C060007338</t>
  </si>
  <si>
    <t>THERMOMETER 0854A / 50-150°C  -  120-300°F</t>
  </si>
  <si>
    <t>C050020854A</t>
  </si>
  <si>
    <t>O-RING 0608</t>
  </si>
  <si>
    <t>6M-3000-BASE</t>
  </si>
  <si>
    <t>MS-642</t>
  </si>
  <si>
    <t>CIRCUIT BREAKER 9160A</t>
  </si>
  <si>
    <t>C060019160A</t>
  </si>
  <si>
    <t>6M-3500-WSP1-LR</t>
  </si>
  <si>
    <t>3" 3-1/2 DISCHARGE FLNG O-RING (3102008118)</t>
  </si>
  <si>
    <t>P109509</t>
  </si>
  <si>
    <t>O-RING 152 (3102004929)</t>
  </si>
  <si>
    <t>OR-152</t>
  </si>
  <si>
    <t>OIL RING</t>
  </si>
  <si>
    <t>O-RING 8119</t>
  </si>
  <si>
    <t>O-RING 8118</t>
  </si>
  <si>
    <t>VALVE COVER</t>
  </si>
  <si>
    <t>O-RING OF VALVE SEAT</t>
  </si>
  <si>
    <t>1235-199</t>
  </si>
  <si>
    <t>3-1/2 SUCTION COVER SEAL ASSY (3102050606A)</t>
  </si>
  <si>
    <t>P108291</t>
  </si>
  <si>
    <t>DEBIERON LLEGAR 30 UND</t>
  </si>
  <si>
    <t>3 DISCHARGE COVER SEAL ASSY (3102050607A)</t>
  </si>
  <si>
    <t>P109379</t>
  </si>
  <si>
    <t>RESORTE DE VALVULA</t>
  </si>
  <si>
    <t>SENSOR ENCODER QUADRATURE 1/4" SHAFT 100 PULSES PER REVOLUTION</t>
  </si>
  <si>
    <t>ENC-100-04-XX</t>
  </si>
  <si>
    <t>MV-621</t>
  </si>
  <si>
    <t>ENSAMBLAJE DE LA VALVULA 2714</t>
  </si>
  <si>
    <t>P100002714</t>
  </si>
  <si>
    <t>SEAL D-RING</t>
  </si>
  <si>
    <t>1006-0305</t>
  </si>
  <si>
    <t xml:space="preserve">SEAL IMPELLER </t>
  </si>
  <si>
    <t>H19110-72</t>
  </si>
  <si>
    <t xml:space="preserve">3" DEFLECTOR </t>
  </si>
  <si>
    <t>G-68102</t>
  </si>
  <si>
    <t>SEAL SPM 600 SHORT 3 GEAR / CR-29952</t>
  </si>
  <si>
    <t>25992RC</t>
  </si>
  <si>
    <t>MV-647</t>
  </si>
  <si>
    <t>ENSAMBLAJE DE LA VALVULA 8516A</t>
  </si>
  <si>
    <t>P100028516A</t>
  </si>
  <si>
    <t>CODO 2 X 2 F/R NARANJA</t>
  </si>
  <si>
    <t>CAJA DE HERRAMIENTAS DEL EQUIPO</t>
  </si>
  <si>
    <t>03 UND CONTABILIZADAS</t>
  </si>
  <si>
    <t>VALVULAS 2 X 2 F/R VERDES</t>
  </si>
  <si>
    <t>CODO 2" 90° F/R ROJO</t>
  </si>
  <si>
    <t>CODO 2" 90° F/R VERDE</t>
  </si>
  <si>
    <t>DEBIERON LLEGAR 12 UND</t>
  </si>
  <si>
    <t xml:space="preserve">GUAYAS </t>
  </si>
  <si>
    <t>VALVULA MARIPOSA 4" ROJA</t>
  </si>
  <si>
    <t xml:space="preserve">JUNTA ROTARIA 2" NARANJA F/R </t>
  </si>
  <si>
    <t>VALVULA RELIEF 2" F/R NARANJA</t>
  </si>
  <si>
    <t>VALVULAS 2 X 2 F/R ROJAS</t>
  </si>
  <si>
    <t>CHIKSAN 2" ESTILO 50 F/F VERDES</t>
  </si>
  <si>
    <t xml:space="preserve">CHIKSAN 2" ESTILO 10 F/R VERDES </t>
  </si>
  <si>
    <t>CHIKSAN 2" ESTILO 10 F/R ROJOS</t>
  </si>
  <si>
    <t>CHIKSAN 2" ESTILO 50 F/F ROJOS</t>
  </si>
  <si>
    <t>CHIKSAN 2" ESTILO 50 R/R ROJOS</t>
  </si>
  <si>
    <t>CRUZ 2" F/F/F/R VERDE</t>
  </si>
  <si>
    <t>TEE 2" R/R/F VERDES</t>
  </si>
  <si>
    <t>DEBIERON LLEGAR 04 UND</t>
  </si>
  <si>
    <t>CODOS 2" 90° R/F VERDES</t>
  </si>
  <si>
    <t>YEE 2" F/F/R VERDE</t>
  </si>
  <si>
    <t>YEE 2" R/R/F VERDES</t>
  </si>
  <si>
    <t>VALVULA 2 X 1 R/F ROJAS</t>
  </si>
  <si>
    <t>CRUZ 2" F/F/F/R</t>
  </si>
  <si>
    <t>CRUZ 2" F/F/R/R ROJA</t>
  </si>
  <si>
    <t>TEE 2" F/F/F ROJAS</t>
  </si>
  <si>
    <t>VALVULA RELIEF 2" F/R ROJA</t>
  </si>
  <si>
    <t>VALVULA 2 X 1 R/F NARANJA</t>
  </si>
  <si>
    <t xml:space="preserve">VALVULA 2 X 1 R/F VERDES </t>
  </si>
  <si>
    <t xml:space="preserve">VALVULA 2 X 1 R/F ROJAS </t>
  </si>
  <si>
    <t xml:space="preserve">UNION 2" F/F ROJAS </t>
  </si>
  <si>
    <t>UNION 2" R/R ROJAS</t>
  </si>
  <si>
    <t xml:space="preserve">TEE 2" R/R/F ROJAS </t>
  </si>
  <si>
    <t>TEE 2" R/F/F ROJAS</t>
  </si>
  <si>
    <t xml:space="preserve">YEE 2" R/F/F ROJAS </t>
  </si>
  <si>
    <t xml:space="preserve">YEE 2" NARANJA </t>
  </si>
  <si>
    <t>CONEXIONES DE HIERRO CON VALVULA MARIPOSA DE 4"</t>
  </si>
  <si>
    <t>CODOS 4"</t>
  </si>
  <si>
    <t>1 UND EN GALPON 2</t>
  </si>
  <si>
    <t>TEE 4"</t>
  </si>
  <si>
    <t>ADPTR SPL: 5.12 10M BX-169 X 4.06 10M BX-155</t>
  </si>
  <si>
    <t>ADPT SPOOL: 4.06 10M H2S BX-155 X 3,06 BX-154</t>
  </si>
  <si>
    <t>SB RISER: 4.06 10K H2S BX-155 - SERIAL 153-48338</t>
  </si>
  <si>
    <t>MANGUERA DE HIERRO 2 (HOSE STEEL)</t>
  </si>
  <si>
    <t>MANGUERAS DE HIERRO DE 2" X 3 FT (VERDES)</t>
  </si>
  <si>
    <t>MANGUERAS DE HIERRO DE 2" X 4 FT (VERDES)</t>
  </si>
  <si>
    <t>MANGUERAS DE HIERRO DE 2" X 6 FT (VERDES)</t>
  </si>
  <si>
    <t>MANGUERAS DE HIERRO DE 2" X 10 FT (VERDES)</t>
  </si>
  <si>
    <t>MANGUERAS DE HIERRO DE 2" X 2 FT (ROJAS)</t>
  </si>
  <si>
    <t>MANGUERAS DE HIERRO DE 2" X 3 FT (ROJAS)</t>
  </si>
  <si>
    <t>MANGUERAS DE HIERRO DE  2" X 4 FT (ROJAS)</t>
  </si>
  <si>
    <t>MANGUERAS DE HIERRO DE 2" X 5 FT (ROJAS)</t>
  </si>
  <si>
    <t>DEBIERON LLEGAR 11 UND</t>
  </si>
  <si>
    <t>MANGUERAS DE HIERRO DE 2" X 6 FT (ROJAS)</t>
  </si>
  <si>
    <t>MANGUERAS DE HIERRO DE 2" X 10 FT (ROJAS)</t>
  </si>
  <si>
    <t>MANGUERAS DE GOMAS DE 4" X 15 FT (SUCCION)</t>
  </si>
  <si>
    <t>MANGUERAS DE GOMAS DE 4" X 20 FT (DESCARGA)</t>
  </si>
  <si>
    <t xml:space="preserve">MANGUERAS DE GOMAS DE 4" X 20 FT (SUCCION) </t>
  </si>
  <si>
    <t>BOP 4.06 10M COMBI OXS H2S 2.38 M60TOT-EH44N612X</t>
  </si>
  <si>
    <t>BOP EH44 QUAD NACE 2.38 H2S M60TOT-EH44L613X</t>
  </si>
  <si>
    <t>CONTADOR</t>
  </si>
  <si>
    <t>INJECTOR SERIAL # IWOO-051 ARCH SERAIL # AWOO-060</t>
  </si>
  <si>
    <t>TUBERIA 2-3/8" OD, .175 WALL THICKNESS</t>
  </si>
  <si>
    <t>UNIDAD DE BOMBEO MARCA JEREL</t>
  </si>
  <si>
    <t>UNIDAD DE COILED TUBING (REEL)</t>
  </si>
  <si>
    <t>UNIDAD DE COILED TUBING (POWER PACK)</t>
  </si>
  <si>
    <t>Observaciones</t>
  </si>
  <si>
    <t>Cantidad</t>
  </si>
  <si>
    <t>Descripcion</t>
  </si>
  <si>
    <t>Ubicación</t>
  </si>
  <si>
    <t>STOCK INICIAL</t>
  </si>
  <si>
    <t>KIT DE FILTRO HIDRAULICO P/N:29558328</t>
  </si>
  <si>
    <t>INSERTO DE VALVULA 3-1/2", P/N: MIA-64</t>
  </si>
  <si>
    <t>INSERTO DE VALVULA 3", P/N: MI-62</t>
  </si>
  <si>
    <t>PACKING WSP1 3" CORE PARTS P106000790A / 6M-3000-BASE</t>
  </si>
  <si>
    <t>NON-EXTRUSION 2,375", P/N: 8412-2461</t>
  </si>
  <si>
    <t>ENERGIZER, P/N: 8412-3750</t>
  </si>
  <si>
    <t xml:space="preserve">Inventario Coiled Tubing (FROM MERIDIAN) </t>
  </si>
  <si>
    <t>MANOMETRO DE 2" 0-5000 PSI CONEXIÓN POSTERIOR DE 1/4" NPT</t>
  </si>
  <si>
    <t>REALIZADO POR: ANGEL SUNIAGA</t>
  </si>
  <si>
    <t>Etiquetas de fila</t>
  </si>
  <si>
    <t>Total general</t>
  </si>
  <si>
    <t>Cuenta de CAUSA O FALLA</t>
  </si>
  <si>
    <t>FRECUENCIA</t>
  </si>
  <si>
    <t>Suma de CANT</t>
  </si>
  <si>
    <t>(Varios elementos)</t>
  </si>
  <si>
    <t>DASHBOARD TRIMESTRAL (DPTO. DE COILED TUBING)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</si>
</sst>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0" fillId="0" borderId="1" xfId="0" applyFont="1" applyBorder="1"/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  <xf numFmtId="0" fontId="0" fillId="0" borderId="4" xfId="0" applyFont="1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8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wrapText="1"/>
    </xf>
    <xf numFmtId="164" fontId="0" fillId="8" borderId="4" xfId="0" applyNumberFormat="1" applyFill="1" applyBorder="1" applyAlignment="1">
      <alignment horizontal="center" vertical="center" wrapText="1"/>
    </xf>
    <xf numFmtId="165" fontId="0" fillId="0" borderId="6" xfId="0" applyNumberFormat="1" applyFont="1" applyBorder="1" applyAlignment="1">
      <alignment horizontal="center" vertical="center"/>
    </xf>
    <xf numFmtId="165" fontId="0" fillId="0" borderId="4" xfId="0" applyNumberFormat="1" applyBorder="1"/>
    <xf numFmtId="165" fontId="0" fillId="0" borderId="1" xfId="0" applyNumberFormat="1" applyBorder="1"/>
    <xf numFmtId="165" fontId="0" fillId="0" borderId="0" xfId="0" applyNumberForma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vertical="center"/>
    </xf>
    <xf numFmtId="164" fontId="0" fillId="0" borderId="4" xfId="0" applyNumberFormat="1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8" xfId="0" applyBorder="1"/>
    <xf numFmtId="0" fontId="0" fillId="0" borderId="1" xfId="0" applyBorder="1" applyAlignment="1">
      <alignment horizontal="left" vertical="center" wrapText="1"/>
    </xf>
    <xf numFmtId="0" fontId="0" fillId="0" borderId="19" xfId="0" applyBorder="1"/>
    <xf numFmtId="164" fontId="0" fillId="0" borderId="19" xfId="0" applyNumberFormat="1" applyBorder="1" applyAlignment="1">
      <alignment vertical="center"/>
    </xf>
    <xf numFmtId="164" fontId="0" fillId="0" borderId="19" xfId="0" applyNumberFormat="1" applyBorder="1"/>
    <xf numFmtId="0" fontId="0" fillId="0" borderId="20" xfId="0" applyBorder="1"/>
    <xf numFmtId="0" fontId="0" fillId="9" borderId="0" xfId="0" applyFill="1"/>
    <xf numFmtId="0" fontId="0" fillId="0" borderId="0" xfId="0" applyAlignment="1">
      <alignment horizontal="left"/>
    </xf>
    <xf numFmtId="0" fontId="5" fillId="10" borderId="21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164" fontId="5" fillId="10" borderId="22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0" borderId="19" xfId="0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vertical="center"/>
    </xf>
    <xf numFmtId="164" fontId="0" fillId="0" borderId="23" xfId="0" applyNumberFormat="1" applyBorder="1" applyAlignment="1">
      <alignment vertical="center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8" borderId="0" xfId="0" applyFill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</cellXfs>
  <cellStyles count="1">
    <cellStyle name="Normal" xfId="0" builtinId="0"/>
  </cellStyles>
  <dxfs count="12"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* #,##0.00_ ;_ * \-#,##0.00_ ;_ * &quot;-&quot;??_ ;_ @_ 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pivotCacheDefinition" Target="pivotCache/pivotCacheDefinition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de Insumos y Mantenimientos CT 2022.xlsx]Hoja5!TablaDinámica7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Hoja5!$E$7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Hoja5!$D$8:$D$18</c:f>
              <c:strCache>
                <c:ptCount val="10"/>
                <c:pt idx="0">
                  <c:v>ACEITE DE HIDRAULICO ISO68 (USADO)</c:v>
                </c:pt>
                <c:pt idx="1">
                  <c:v>ACEITE DE MOTOR 15W40</c:v>
                </c:pt>
                <c:pt idx="2">
                  <c:v>ACEITE DE MOTOR 15W40 (USADO)</c:v>
                </c:pt>
                <c:pt idx="3">
                  <c:v>ACEITE DE TRANSMISION 80W90</c:v>
                </c:pt>
                <c:pt idx="4">
                  <c:v>ACEITE HIDRAULICO ISO-68</c:v>
                </c:pt>
                <c:pt idx="5">
                  <c:v>ARANDELA PLANA </c:v>
                </c:pt>
                <c:pt idx="6">
                  <c:v>ESPARRAGO  11907-83 (5/8" X 3-1/2")</c:v>
                </c:pt>
                <c:pt idx="7">
                  <c:v>GRASA SWEPCO 222</c:v>
                </c:pt>
                <c:pt idx="8">
                  <c:v>REFRIGERANTE ANTICORROSIVO ROJO</c:v>
                </c:pt>
                <c:pt idx="9">
                  <c:v>TUERCA PARA ESPARRAGO 5/8</c:v>
                </c:pt>
              </c:strCache>
            </c:strRef>
          </c:cat>
          <c:val>
            <c:numRef>
              <c:f>Hoja5!$E$8:$E$18</c:f>
              <c:numCache>
                <c:formatCode>General</c:formatCode>
                <c:ptCount val="10"/>
                <c:pt idx="0">
                  <c:v>1083</c:v>
                </c:pt>
                <c:pt idx="1">
                  <c:v>325</c:v>
                </c:pt>
                <c:pt idx="2">
                  <c:v>20</c:v>
                </c:pt>
                <c:pt idx="3">
                  <c:v>412.5</c:v>
                </c:pt>
                <c:pt idx="4">
                  <c:v>1256</c:v>
                </c:pt>
                <c:pt idx="5">
                  <c:v>15</c:v>
                </c:pt>
                <c:pt idx="6">
                  <c:v>20</c:v>
                </c:pt>
                <c:pt idx="7">
                  <c:v>20</c:v>
                </c:pt>
                <c:pt idx="8">
                  <c:v>170</c:v>
                </c:pt>
                <c:pt idx="9">
                  <c:v>25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591A-494B-9490-656AE5673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608528"/>
        <c:axId val="366610496"/>
        <c:axId val="0"/>
      </c:bar3DChart>
      <c:catAx>
        <c:axId val="3666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366610496"/>
        <c:crosses val="autoZero"/>
        <c:auto val="1"/>
        <c:lblAlgn val="ctr"/>
        <c:lblOffset val="100"/>
        <c:noMultiLvlLbl val="0"/>
      </c:catAx>
      <c:valAx>
        <c:axId val="3666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3666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[Control de Insumos y Mantenimientos CT 2022.xlsx]Hoja5!TablaDinámica4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DE TIPOS DE MANTENIMIENTOS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A4-44E8-BC46-AE43214DD8E2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A4-44E8-BC46-AE43214DD8E2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A4-44E8-BC46-AE43214DD8E2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A4-44E8-BC46-AE43214DD8E2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A4-44E8-BC46-AE43214DD8E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3A4-44E8-BC46-AE43214DD8E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3A4-44E8-BC46-AE43214DD8E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3A4-44E8-BC46-AE43214DD8E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3A4-44E8-BC46-AE43214DD8E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3A4-44E8-BC46-AE43214DD8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Hoja5!$A$4:$A$9</c:f>
              <c:strCache>
                <c:ptCount val="5"/>
                <c:pt idx="0">
                  <c:v>CORRECTIVO</c:v>
                </c:pt>
                <c:pt idx="1">
                  <c:v>N/A</c:v>
                </c:pt>
                <c:pt idx="2">
                  <c:v>PLANIFICADO</c:v>
                </c:pt>
                <c:pt idx="3">
                  <c:v>PREVENTIVO</c:v>
                </c:pt>
                <c:pt idx="4">
                  <c:v>RUTINARIO</c:v>
                </c:pt>
              </c:strCache>
            </c:strRef>
          </c:cat>
          <c:val>
            <c:numRef>
              <c:f>Hoja5!$B$4:$B$9</c:f>
              <c:numCache>
                <c:formatCode>General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57</c:v>
                </c:pt>
                <c:pt idx="3">
                  <c:v>30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A4-44E8-BC46-AE43214DD8E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[Control de Insumos y Mantenimientos CT 2022.xlsx]Hoja5!TablaDinámica5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UNIDADES</a:t>
            </a:r>
            <a:r>
              <a:rPr lang="en-US" baseline="0"/>
              <a:t> </a:t>
            </a:r>
            <a:r>
              <a:rPr lang="en-US" sz="16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CON MAYOR CANTIDAD DE MANTENIMIENTOS REALIZADOS</a:t>
            </a:r>
          </a:p>
        </c:rich>
      </c:tx>
      <c:layout>
        <c:manualLayout>
          <c:xMode val="edge"/>
          <c:yMode val="edge"/>
          <c:x val="0.19113847816738794"/>
          <c:y val="3.8742136829905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Hoja5!$I$6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Hoja5!$H$7:$H$17</c:f>
              <c:strCache>
                <c:ptCount val="10"/>
                <c:pt idx="0">
                  <c:v>MTTO</c:v>
                </c:pt>
                <c:pt idx="1">
                  <c:v>PDV-181</c:v>
                </c:pt>
                <c:pt idx="2">
                  <c:v>SAI-205</c:v>
                </c:pt>
                <c:pt idx="3">
                  <c:v>SAI-215</c:v>
                </c:pt>
                <c:pt idx="4">
                  <c:v>TP-552</c:v>
                </c:pt>
                <c:pt idx="5">
                  <c:v>TP-554</c:v>
                </c:pt>
                <c:pt idx="6">
                  <c:v>TP-CH-018</c:v>
                </c:pt>
                <c:pt idx="7">
                  <c:v>TP-DCT-001</c:v>
                </c:pt>
                <c:pt idx="8">
                  <c:v>TP-MT-017</c:v>
                </c:pt>
                <c:pt idx="9">
                  <c:v>TP-V-007</c:v>
                </c:pt>
              </c:strCache>
            </c:strRef>
          </c:cat>
          <c:val>
            <c:numRef>
              <c:f>Hoja5!$I$7:$I$17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149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FE6-8EAB-7793117989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5956536"/>
        <c:axId val="475953256"/>
        <c:axId val="0"/>
      </c:bar3DChart>
      <c:catAx>
        <c:axId val="475956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475953256"/>
        <c:crosses val="autoZero"/>
        <c:auto val="1"/>
        <c:lblAlgn val="ctr"/>
        <c:lblOffset val="100"/>
        <c:noMultiLvlLbl val="0"/>
      </c:catAx>
      <c:valAx>
        <c:axId val="47595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475956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de Insumos y Mantenimientos CT 2022.xlsx]Hoja5!TablaDinámica6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rEPUESTOS</a:t>
            </a:r>
            <a:r>
              <a:rPr lang="en-US" baseline="0"/>
              <a:t> </a:t>
            </a:r>
            <a:r>
              <a:rPr lang="en-US" baseline="0">
                <a:solidFill>
                  <a:schemeClr val="accent6">
                    <a:lumMod val="75000"/>
                  </a:schemeClr>
                </a:solidFill>
              </a:rPr>
              <a:t>NUEVOS</a:t>
            </a:r>
            <a:r>
              <a:rPr lang="en-US" baseline="0"/>
              <a:t> VS </a:t>
            </a:r>
            <a:r>
              <a:rPr lang="en-US" baseline="0">
                <a:solidFill>
                  <a:srgbClr val="FF0000"/>
                </a:solidFill>
              </a:rPr>
              <a:t>USADOS, FABRICADOS Y REPARADOS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9427358199411549"/>
          <c:y val="0.23325144887786498"/>
          <c:w val="0.45032755092949883"/>
          <c:h val="0.66444548841424622"/>
        </c:manualLayout>
      </c:layout>
      <c:doughnutChart>
        <c:varyColors val="1"/>
        <c:ser>
          <c:idx val="0"/>
          <c:order val="0"/>
          <c:tx>
            <c:strRef>
              <c:f>Hoja5!$B$13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04-4744-8ADF-096A9EFE28B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04-4744-8ADF-096A9EFE28B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04-4744-8ADF-096A9EFE28B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04-4744-8ADF-096A9EFE28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Hoja5!$A$14:$A$18</c:f>
              <c:strCache>
                <c:ptCount val="4"/>
                <c:pt idx="0">
                  <c:v>FABRICADO</c:v>
                </c:pt>
                <c:pt idx="1">
                  <c:v>NUEVO</c:v>
                </c:pt>
                <c:pt idx="2">
                  <c:v>REPARADO</c:v>
                </c:pt>
                <c:pt idx="3">
                  <c:v>USADO</c:v>
                </c:pt>
              </c:strCache>
            </c:strRef>
          </c:cat>
          <c:val>
            <c:numRef>
              <c:f>Hoja5!$B$14:$B$18</c:f>
              <c:numCache>
                <c:formatCode>General</c:formatCode>
                <c:ptCount val="4"/>
                <c:pt idx="0">
                  <c:v>3</c:v>
                </c:pt>
                <c:pt idx="1">
                  <c:v>119</c:v>
                </c:pt>
                <c:pt idx="2">
                  <c:v>4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04-4744-8ADF-096A9EFE28B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[Control de Insumos y Mantenimientos CT 2022.xlsx]Hoja5!TablaDinámica7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RANKING</a:t>
            </a:r>
            <a:r>
              <a:rPr lang="en-US" b="1" baseline="0"/>
              <a:t> </a:t>
            </a:r>
            <a:r>
              <a:rPr lang="en-US" sz="16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DE MATERIALES MAS UTILIZADOS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Hoja5!$E$7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Hoja5!$D$8:$D$18</c:f>
              <c:strCache>
                <c:ptCount val="10"/>
                <c:pt idx="0">
                  <c:v>ACEITE DE HIDRAULICO ISO68 (USADO)</c:v>
                </c:pt>
                <c:pt idx="1">
                  <c:v>ACEITE DE MOTOR 15W40</c:v>
                </c:pt>
                <c:pt idx="2">
                  <c:v>ACEITE DE MOTOR 15W40 (USADO)</c:v>
                </c:pt>
                <c:pt idx="3">
                  <c:v>ACEITE DE TRANSMISION 80W90</c:v>
                </c:pt>
                <c:pt idx="4">
                  <c:v>ACEITE HIDRAULICO ISO-68</c:v>
                </c:pt>
                <c:pt idx="5">
                  <c:v>ARANDELA PLANA </c:v>
                </c:pt>
                <c:pt idx="6">
                  <c:v>ESPARRAGO  11907-83 (5/8" X 3-1/2")</c:v>
                </c:pt>
                <c:pt idx="7">
                  <c:v>GRASA SWEPCO 222</c:v>
                </c:pt>
                <c:pt idx="8">
                  <c:v>REFRIGERANTE ANTICORROSIVO ROJO</c:v>
                </c:pt>
                <c:pt idx="9">
                  <c:v>TUERCA PARA ESPARRAGO 5/8</c:v>
                </c:pt>
              </c:strCache>
            </c:strRef>
          </c:cat>
          <c:val>
            <c:numRef>
              <c:f>Hoja5!$E$8:$E$18</c:f>
              <c:numCache>
                <c:formatCode>General</c:formatCode>
                <c:ptCount val="10"/>
                <c:pt idx="0">
                  <c:v>1083</c:v>
                </c:pt>
                <c:pt idx="1">
                  <c:v>325</c:v>
                </c:pt>
                <c:pt idx="2">
                  <c:v>20</c:v>
                </c:pt>
                <c:pt idx="3">
                  <c:v>412.5</c:v>
                </c:pt>
                <c:pt idx="4">
                  <c:v>1256</c:v>
                </c:pt>
                <c:pt idx="5">
                  <c:v>15</c:v>
                </c:pt>
                <c:pt idx="6">
                  <c:v>20</c:v>
                </c:pt>
                <c:pt idx="7">
                  <c:v>20</c:v>
                </c:pt>
                <c:pt idx="8">
                  <c:v>170</c:v>
                </c:pt>
                <c:pt idx="9">
                  <c:v>25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8AA6-484D-AC96-CD95B4C89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608528"/>
        <c:axId val="366610496"/>
        <c:axId val="0"/>
      </c:bar3DChart>
      <c:catAx>
        <c:axId val="3666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366610496"/>
        <c:crosses val="autoZero"/>
        <c:auto val="1"/>
        <c:lblAlgn val="ctr"/>
        <c:lblOffset val="100"/>
        <c:noMultiLvlLbl val="0"/>
      </c:catAx>
      <c:valAx>
        <c:axId val="3666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3666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 /><Relationship Id="rId2" Type="http://schemas.openxmlformats.org/officeDocument/2006/relationships/chart" Target="../charts/chart3.xml" /><Relationship Id="rId1" Type="http://schemas.openxmlformats.org/officeDocument/2006/relationships/chart" Target="../charts/chart2.xml" /><Relationship Id="rId4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385234</xdr:colOff>
      <xdr:row>1</xdr:row>
      <xdr:rowOff>57150</xdr:rowOff>
    </xdr:from>
    <xdr:to>
      <xdr:col>4</xdr:col>
      <xdr:colOff>242438</xdr:colOff>
      <xdr:row>3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584" y="247650"/>
          <a:ext cx="1057354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136071</xdr:colOff>
      <xdr:row>1</xdr:row>
      <xdr:rowOff>54428</xdr:rowOff>
    </xdr:from>
    <xdr:to>
      <xdr:col>2</xdr:col>
      <xdr:colOff>1106955</xdr:colOff>
      <xdr:row>3</xdr:row>
      <xdr:rowOff>130628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42" y="244928"/>
          <a:ext cx="1147777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</xdr:row>
      <xdr:rowOff>57150</xdr:rowOff>
    </xdr:from>
    <xdr:to>
      <xdr:col>5</xdr:col>
      <xdr:colOff>188927</xdr:colOff>
      <xdr:row>3</xdr:row>
      <xdr:rowOff>133350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247650"/>
          <a:ext cx="1141427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823911</xdr:colOff>
      <xdr:row>3</xdr:row>
      <xdr:rowOff>161925</xdr:rowOff>
    </xdr:from>
    <xdr:to>
      <xdr:col>6</xdr:col>
      <xdr:colOff>714374</xdr:colOff>
      <xdr:row>21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2</xdr:col>
      <xdr:colOff>852502</xdr:colOff>
      <xdr:row>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47650"/>
          <a:ext cx="1147777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419101</xdr:colOff>
      <xdr:row>1</xdr:row>
      <xdr:rowOff>28575</xdr:rowOff>
    </xdr:from>
    <xdr:ext cx="836920" cy="33337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1" y="219075"/>
          <a:ext cx="83692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9</xdr:col>
      <xdr:colOff>0</xdr:colOff>
      <xdr:row>24</xdr:row>
      <xdr:rowOff>176893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2720</xdr:colOff>
      <xdr:row>5</xdr:row>
      <xdr:rowOff>190499</xdr:rowOff>
    </xdr:from>
    <xdr:to>
      <xdr:col>16</xdr:col>
      <xdr:colOff>761999</xdr:colOff>
      <xdr:row>24</xdr:row>
      <xdr:rowOff>176892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25</xdr:row>
      <xdr:rowOff>176891</xdr:rowOff>
    </xdr:from>
    <xdr:to>
      <xdr:col>8</xdr:col>
      <xdr:colOff>748393</xdr:colOff>
      <xdr:row>44</xdr:row>
      <xdr:rowOff>163285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2721</xdr:colOff>
      <xdr:row>26</xdr:row>
      <xdr:rowOff>13606</xdr:rowOff>
    </xdr:from>
    <xdr:to>
      <xdr:col>17</xdr:col>
      <xdr:colOff>0</xdr:colOff>
      <xdr:row>44</xdr:row>
      <xdr:rowOff>190499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" refreshedDate="45231.673657407409" createdVersion="6" refreshedVersion="6" minRefreshableVersion="3" recordCount="161" xr:uid="{00000000-000A-0000-FFFF-FFFF02000000}">
  <cacheSource type="worksheet">
    <worksheetSource ref="B6:X167" sheet="OUT"/>
  </cacheSource>
  <cacheFields count="23">
    <cacheField name="#" numFmtId="0">
      <sharedItems containsNonDate="0" containsString="0" containsBlank="1"/>
    </cacheField>
    <cacheField name="NRO. REPORT" numFmtId="0">
      <sharedItems containsNonDate="0" containsString="0" containsBlank="1"/>
    </cacheField>
    <cacheField name="FECHA" numFmtId="165">
      <sharedItems containsSemiMixedTypes="0" containsNonDate="0" containsDate="1" containsString="0" minDate="2022-08-23T00:00:00" maxDate="2022-12-30T00:00:00"/>
    </cacheField>
    <cacheField name="HORA" numFmtId="0">
      <sharedItems containsNonDate="0" containsString="0" containsBlank="1"/>
    </cacheField>
    <cacheField name="FECHA2" numFmtId="0">
      <sharedItems containsNonDate="0" containsString="0" containsBlank="1"/>
    </cacheField>
    <cacheField name="HORA2" numFmtId="0">
      <sharedItems containsNonDate="0" containsString="0" containsBlank="1"/>
    </cacheField>
    <cacheField name="UNIDAD" numFmtId="0">
      <sharedItems count="10">
        <s v="TP-DCT-001"/>
        <s v="TP-CH-018"/>
        <s v="TP-MT-017"/>
        <s v="SAI-215"/>
        <s v="TP-554"/>
        <s v="TP-552"/>
        <s v="PDV-181"/>
        <s v="SAI-205"/>
        <s v="MTTO"/>
        <s v="TP-V-007"/>
      </sharedItems>
    </cacheField>
    <cacheField name="EQUIPO" numFmtId="0">
      <sharedItems/>
    </cacheField>
    <cacheField name="HORAS T" numFmtId="0">
      <sharedItems containsNonDate="0" containsString="0" containsBlank="1"/>
    </cacheField>
    <cacheField name="TIPO DE MTTO" numFmtId="0">
      <sharedItems count="6">
        <s v="RUTINARIO"/>
        <s v="PREVENTIVO"/>
        <s v="N/A"/>
        <s v="CORRECTIVO"/>
        <s v="PLANIFICADO"/>
        <s v="RUTINARIO " u="1"/>
      </sharedItems>
    </cacheField>
    <cacheField name="CAUSA O FALLA" numFmtId="0">
      <sharedItems/>
    </cacheField>
    <cacheField name="DESCRIPCION DE ACTIVIDAD" numFmtId="0">
      <sharedItems/>
    </cacheField>
    <cacheField name="ODS" numFmtId="0">
      <sharedItems containsBlank="1"/>
    </cacheField>
    <cacheField name="TIEMPO DE PARADA" numFmtId="0">
      <sharedItems containsString="0" containsBlank="1" containsNumber="1" containsInteger="1" minValue="0" maxValue="0"/>
    </cacheField>
    <cacheField name="NRO. TRANS. ALM" numFmtId="0">
      <sharedItems containsNonDate="0" containsString="0" containsBlank="1"/>
    </cacheField>
    <cacheField name="DESCRIPCION DE INSUMOS" numFmtId="0">
      <sharedItems count="122">
        <s v="TRAPO PARA MANTENIMIENTO INDUSTRIAL"/>
        <s v="PACKING DE BOMBA TRIPLEX DE 3-1/2&quot;, P/N: 6M-3500-WSPI-R "/>
        <s v="FLANGE 4-1/16&quot; CIEGO "/>
        <s v="ESPARRAGOS DE 1&quot;"/>
        <s v="TUERCA PARA ESPARRAGO 1&quot;"/>
        <s v="O-RING 4&quot; P/N: OR-343"/>
        <s v="O-RING"/>
        <s v="TAPA DEL FLUID END 3-1/2&quot; INCLUYE: JGO DE O-RING Y SEPARADOR DE TEFLON"/>
        <s v="TAPA DEL FLUID END 3&quot; INCLUYE: JGO DE O-RING Y SEPARADOR DE TEFLON"/>
        <s v="FILTRO DE AIRE P/N: CAT-61-2505"/>
        <s v="BOMBA DE AGUA"/>
        <s v="TAPA DEL FLUID END 3-1/2&quot;"/>
        <s v="BOP TIPO CONVI"/>
        <s v="BOP QUARTZ P/N: LE44-X1400B INCLUYE VALVULA 2X2 P/N: BH0006, VALVULA 2X1 P/N: FP10151 Y TEE DE FLUJO"/>
        <s v="BOMBA DE AGUA DE CAMION COILED TUBING P/N: 23522721, P/N: 8922383"/>
        <s v="ROLL-ON CONECTOR 2-3/8&quot; X 0,185'"/>
        <s v="CROSSOVER PIN TO PIN 2-1/2&quot;"/>
        <s v="FUSIBLE 250V X 6,3 AMP"/>
        <s v="REFRIGERANTE ANTICORROSIVO ROJO"/>
        <s v="CANOA DE 12 MTS X 3 MTS"/>
        <s v="FILTRO DE ACEITE 51971 / P552100 / ML-25971"/>
        <s v="FILTRO S. DE COMB. 33120 / P556916 / F3120"/>
        <s v="FILTRO P. DE COMB. 33118 / P556915"/>
        <s v="FILTRO TRAMPA DE AGUA 33792 / FC33792 / PP-2020"/>
        <s v="ACEITE DE MOTOR 15W40"/>
        <s v="FILTRO DE RERIGERANTE 23516489 / BW5200 / DBC4088"/>
        <s v="FILTRO HIDRAULICO 51730 / BT8879-MPG / P165659"/>
        <s v="CORREA A-68"/>
        <s v="CORREA PARA MOTOR DETROIT S60 N/P: 23520032"/>
        <s v="ACEITE HIDRAULICO ISO-68"/>
        <s v="FILTRO DE COMB. TRAMPA DE AGUA  33651 / MF-61492 / WC-7772A"/>
        <s v="CEPILLO DE ALAMBRE"/>
        <s v="TUBERIA DE 2&quot; FIG 1502 X 3 FT (ROJO)"/>
        <s v="TUBERIA DE 2&quot; FIG 1502 X 3 FT (VERDE)"/>
        <s v="TUBERIA DE 2&quot; FIG 1502 X 4 FT (ROJO)"/>
        <s v="TUBERIA DE 2&quot; FIG 1502 X 6 FT (VERDE)"/>
        <s v="NIPLE REY 1&quot;"/>
        <s v="MANGUERA MULTIUSO 1&quot; X 300 PSI COLOR ROJO"/>
        <s v="ACEITE DE HIDRAULICO ISO68 (USADO)"/>
        <s v="CORREA A-47"/>
        <s v="PACKER INTERLOOK 2,375&quot;, P/N: 8412-6061"/>
        <s v="NON-EXTRUSION 2,375&quot;, P/N: 8412-2461"/>
        <s v="ENERGIZER, P/N: 8412-3750"/>
        <s v="KIT DE O-RING - VITON 70 AS-568 407 PZA / INCLUYE 23 MOD"/>
        <s v="FILTRO DE ACEITE 51085 / P550963 / AF-43 / W-16"/>
        <s v="FILTRO DE COMB P.  33063 / FP888 / FFP550888"/>
        <s v="FILTRO DE AIRE P822686 / AF25538 / 46449"/>
        <s v="CONECTOR NPT 90°"/>
        <s v="PLUG 1/4&quot; (TAPON MACHO NPT 1/4&quot;)"/>
        <s v="UNIDAD DE BOMBEO (MONTADA EN TRAILER  TIPO 5TA RUEDA) MOTOR DETROIT DIESEL S60"/>
        <s v="INSERTO DE VALVULA 3&quot;, P/N: MI-62"/>
        <s v="DINAMO PARA GENERADOR ELECTRICO"/>
        <s v="GRASA GADUS S2 V220 2 PARA ALTA PRESION MARCA: SHELL (400 GRAMOS)"/>
        <s v="PACKING PLASTIC"/>
        <s v="CAUCHO 12-00-20 CON TRIPA Y PROTECTOR"/>
        <s v="ACEITE DE TRANSMISION 80W90"/>
        <s v="BARRA CORRIDA  DE 5/8 &quot; X 70&quot; (TORNILLO SIN FIN)"/>
        <s v="TUERCA PARA ESPARRAGO 5/8"/>
        <s v="CEPILLO DE ALAMBRE "/>
        <s v="FLUIDO DE INSTRUMENTACION"/>
        <s v="PLUG 174&quot; TAPON"/>
        <s v="MANOMETRO DE 2&quot; 0-6000 PSI CONEXIÓN POSTERIOR DE 1/4&quot; NPT"/>
        <s v="CORTA TUBO 2-1/2&quot; A 4&quot; 44-S / MOD R32880"/>
        <s v="PINZA AMPERIMETRICA AC/DC 400A MODELO FLUKE 323 (INCLUYE ESTUCHE PINZAS ROJO Y NEGRO)"/>
        <s v="BOMBA DE AGUA PARA CAMION COILED TUBING P/N 23522721"/>
        <s v="ACEITE DE MOTOR 15W40 (USADO)"/>
        <s v="TRAPOS PARA MANTENIMIENTO INDUSTRIAL"/>
        <s v="CANDADO 60 MM"/>
        <s v="ACEITE DE TRANSMISION 75W90"/>
        <s v="ACEITE HIDRAULICO DEXRON VI"/>
        <s v="TORNILLO SIN FIN 1/4&quot;"/>
        <s v="CONECTOR 2W 3P FOR RIG A LITE MACHO-HEMBRA"/>
        <s v="GRAMPA PARA GUAYA 9-1/16&quot;"/>
        <s v="ARANDELA PLANA "/>
        <s v="TANQUE PARA GASOIL MEDIDAS 7FT X 12 FT X 6 FT"/>
        <s v="BASE METALICA PARA FILTRO RACOR 20-20"/>
        <s v="BARRAS CHACAS"/>
        <s v="TAPON GALVANIZADO MACHO 4&quot; ROSCA NPT"/>
        <s v="ESPARRAGO  11907-83 (5/8&quot; X 3-1/2&quot;)"/>
        <s v="DINAMO PARA GENERADOR ELECTRICO N/P: GP9926 ALT. KUBOTA 12V 20 AMP"/>
        <s v="BOMBA DE TRANSFERENCIA DE FLUIDOS WILDEN PUMP / DOBLE DIAFRAGMA / C / IN 1&quot; / OUT 3/4&quot; CONEXIÓN NPT / AIRE 1/2&quot; REDUCCION 1/4&quot; MOD WE1-02-1170"/>
        <s v="PAPEL DE EMPACADURA 3/16&quot; X 150 CM X 150 CM (AMIANTO)"/>
        <s v="FILTRO TIPO MANGA"/>
        <s v="CONECTOR 1/4&quot; NPT X 5/16&quot; FLARE"/>
        <s v="TORNILLO 3/8&quot; X 1-1/2&quot;"/>
        <s v="TORNILLO 3/8&quot; X 2&quot;"/>
        <s v="TUERCA 3/8&quot;"/>
        <s v="MANGUERA DE COMBUSTIBLE  3/4&quot; X 270 PSI CON MALLA"/>
        <s v="CONECTOR SWIVEL REUSABLE N° 12"/>
        <s v="ADAPTER 3/4&quot; NPT X SWIVEL N° 12"/>
        <s v="ADAPTER 1&quot; NPT X SWIVEL N° 12"/>
        <s v="CODO TIPO PIPA 1&quot;"/>
        <s v="BUSHING REDUCTOR 1&quot; X 3/4&quot; NPT"/>
        <s v="KIT DE BLOQUEO"/>
        <s v="NIPLE 4&quot; X 8&quot; XX8"/>
        <s v="CAJA DE HERRAMIENTAS METALICA GRANDE"/>
        <s v="LLAVE AJUSTABLE 8&quot;"/>
        <s v="LLAVE AJUSTABLE 12&quot;"/>
        <s v="ALICATE ELECTRICO 8&quot; MOD STANLEY 84-056 PETRUL PEL8PX"/>
        <s v="MARTILLO DE CARPINTERO"/>
        <s v="JGO DE DADOS ESTRIADOS 3/8&quot; A 1-1/4&quot; CON CUADRANTE 1/2&quot; / MOD: J54126"/>
        <s v="ALICATE PUNTA LARGA 8&quot;"/>
        <s v="ALICATE PELACABLE 9&quot; MOD: 84-223"/>
        <s v="MANDARRIA DE HIERRO 6 LBS"/>
        <s v="MANDARRIA DE BRONCE 3 KG"/>
        <s v="LIMA MEDIA LUNA 10&quot;"/>
        <s v="JGO DE DESTORNILLADORES MARCA STANLEY 10 PZAS PALA Y ESTRIA CON PUNTA MAGNETICA"/>
        <s v="CINTA METRICA (METRO) DE 5 MTS"/>
        <s v="CAUTIN TIPO LAPZ 60W / 120 VAC (INCLUYE 5 PIEZAS ADICIONALES)"/>
        <s v="JUEGO DE LLAVES COMBINADAS MILIMETRICAS 14 PZAS ( 10MM, 11MM, 12MM, 13MM, 14MM, 17MM, 19MM, 21MM, 22MM, 23MM, 24MM, 26MM, 30MM, 32MM)"/>
        <s v="JUEGO DE LLAVES COMBINADAS EN PULGADAS MOD. 86-970 14PZAS (3/8&quot;, 7/16&quot;, 1/2&quot;, 9/16&quot;, 5/8&quot;, 11/16&quot;, 3/4&quot;, 13/16&quot;, 7/8&quot;, 15/16&quot;, 1&quot;, 1-1/16&quot;, 1-1/8&quot;, 1-1/4&quot;"/>
        <s v="ARCO DE SEGUETA"/>
        <s v="ALICATE DE PRESION 10&quot;"/>
        <s v="LLAVE DE TUBO 36&quot;"/>
        <s v="LLAVE DE TUBO 24&quot;"/>
        <s v="LLAVE DE TUBO 12&quot;"/>
        <s v="MULTIMETRO FLUKE MOD. 87V (INCLUYE: ESTUCHE DE GOMA, CABLE ROJO Y NEGRO, PINZAS TIPO CAIMAN (2), CABLE TERMOCUPULA Y PILA 9V)"/>
        <s v="GRASERA MANUAL TAPA PARA CUÑETE"/>
        <s v="GRASA SWEPCO 222"/>
        <s v="UNIDAD DE BOMBEO (MONTADA EN TRAILER  TIPO 5TA RUEDA) MOTOR DETROIT DIESEL S60 MOD: YLT100-600 CODIGO VIN: LA99CRT26F9JRR312"/>
        <s v="ELECTRODO 7018-1/8&quot; "/>
        <s v="CAUCHO 275/70/R22.5"/>
      </sharedItems>
    </cacheField>
    <cacheField name="P/N" numFmtId="0">
      <sharedItems containsMixedTypes="1" containsNumber="1" containsInteger="1" minValue="601408305" maxValue="200100020008"/>
    </cacheField>
    <cacheField name="MARCA" numFmtId="0">
      <sharedItems containsBlank="1"/>
    </cacheField>
    <cacheField name="S/N" numFmtId="0">
      <sharedItems containsBlank="1" containsMixedTypes="1" containsNumber="1" containsInteger="1" minValue="4280" maxValue="11150013"/>
    </cacheField>
    <cacheField name="CANT" numFmtId="164">
      <sharedItems containsSemiMixedTypes="0" containsString="0" containsNumber="1" minValue="1" maxValue="695" count="24">
        <n v="4"/>
        <n v="1"/>
        <n v="8"/>
        <n v="3"/>
        <n v="2"/>
        <n v="170"/>
        <n v="40"/>
        <n v="695"/>
        <n v="80"/>
        <n v="541"/>
        <n v="6"/>
        <n v="9"/>
        <n v="20"/>
        <n v="60"/>
        <n v="412.5"/>
        <n v="25"/>
        <n v="205"/>
        <n v="105"/>
        <n v="10"/>
        <n v="12"/>
        <n v="15"/>
        <n v="50"/>
        <n v="128"/>
        <n v="7"/>
      </sharedItems>
    </cacheField>
    <cacheField name="UND" numFmtId="0">
      <sharedItems/>
    </cacheField>
    <cacheField name="CONDICION" numFmtId="0">
      <sharedItems count="6">
        <s v="NUEVO"/>
        <s v="USADO"/>
        <s v="FABRICADO"/>
        <s v="REPARADO"/>
        <s v="USADA" u="1"/>
        <s v="POR REPARAR" u="1"/>
      </sharedItems>
    </cacheField>
    <cacheField name="U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">
  <r>
    <m/>
    <m/>
    <d v="2022-08-23T00:00:00"/>
    <m/>
    <m/>
    <m/>
    <x v="0"/>
    <s v="POWER PACK"/>
    <m/>
    <x v="0"/>
    <s v="HIGIENE Y SEGURIDAD"/>
    <s v="LIMPIEZA DE CONEXIONES HIDRAULICAS"/>
    <s v="N/A"/>
    <n v="0"/>
    <m/>
    <x v="0"/>
    <s v="N/A"/>
    <m/>
    <m/>
    <x v="0"/>
    <s v="KG"/>
    <x v="0"/>
    <s v="CONSUMIBLE REQUERIDO PARA REALIZACION DE LIMPIEZA EN CONEXIONES HIDRAULICAS DEL EQUIPO"/>
  </r>
  <r>
    <m/>
    <m/>
    <d v="2022-08-25T00:00:00"/>
    <m/>
    <m/>
    <m/>
    <x v="0"/>
    <s v="UNIDAD DE BOMBEO"/>
    <m/>
    <x v="1"/>
    <s v="PREVENCION ANTE FUTURAS FALLAS"/>
    <s v="REEMPLAZO DE EMPAQUES EN BOMBA TRIPLEX &quot;A&quot;"/>
    <s v="N/A"/>
    <n v="0"/>
    <m/>
    <x v="1"/>
    <s v="6M-3500-WSP1-R"/>
    <m/>
    <m/>
    <x v="1"/>
    <s v="KIT"/>
    <x v="0"/>
    <s v="ENTREGA DE MATERIAL REQUERIDO PARA USO EN BOMBA TRIPLEX DE UNIDAD DE BOMBEO DE EQUIPO "/>
  </r>
  <r>
    <m/>
    <m/>
    <d v="2022-08-25T00:00:00"/>
    <m/>
    <m/>
    <m/>
    <x v="0"/>
    <s v="CT"/>
    <m/>
    <x v="2"/>
    <s v="PRESTAMO PARA PRUEBAS"/>
    <s v="PRESTAMO CON CARÁCTER DEVOLUTIVO"/>
    <s v="N/A"/>
    <n v="0"/>
    <m/>
    <x v="2"/>
    <s v="N/A"/>
    <m/>
    <s v="153-48330"/>
    <x v="1"/>
    <s v="UND"/>
    <x v="0"/>
    <s v="SALIDA DE MATERIAL EN CALIDAD DE PRESTAMO PARA PRUEBA DE BOP. DEBE RETORNAR A BASE AL FINALIZAR PRUEBA"/>
  </r>
  <r>
    <m/>
    <m/>
    <d v="2022-08-25T00:00:00"/>
    <m/>
    <m/>
    <m/>
    <x v="0"/>
    <s v="CT"/>
    <m/>
    <x v="2"/>
    <s v="PRESTAMO PARA PRUEBAS"/>
    <s v="PRESTAMO CON CARÁCTER DEVOLUTIVO"/>
    <s v="N/A"/>
    <n v="0"/>
    <m/>
    <x v="3"/>
    <s v="N/A"/>
    <m/>
    <m/>
    <x v="2"/>
    <s v="UND"/>
    <x v="0"/>
    <s v="SALIDA DE MATERIAL EN CALIDAD DE PRESTAMO PARA PRUEBA DE BOP. DEBE RETORNAR A BASE AL FINALIZAR PRUEBA"/>
  </r>
  <r>
    <m/>
    <m/>
    <d v="2022-08-25T00:00:00"/>
    <m/>
    <m/>
    <m/>
    <x v="0"/>
    <s v="CT"/>
    <m/>
    <x v="2"/>
    <s v="PRESTAMO PARA PRUEBAS"/>
    <s v="PRESTAMO CON CARÁCTER DEVOLUTIVO"/>
    <s v="N/A"/>
    <n v="0"/>
    <m/>
    <x v="4"/>
    <s v="N/A"/>
    <m/>
    <m/>
    <x v="2"/>
    <s v="UND"/>
    <x v="0"/>
    <s v="SALIDA DE MATERIAL EN CALIDAD DE PRESTAMO PARA PRUEBA DE BOP. DEBE RETORNAR A BASE AL FINALIZAR PRUEBA"/>
  </r>
  <r>
    <m/>
    <m/>
    <d v="2022-08-25T00:00:00"/>
    <m/>
    <m/>
    <m/>
    <x v="0"/>
    <s v="UNIDAD DE BOMBEO"/>
    <m/>
    <x v="1"/>
    <s v="PREVENCION ANTE FUTURAS FALLAS"/>
    <s v="REEMPLAZO DE EMPAQUES EN BOMBA TRIPLEX &quot;A&quot;"/>
    <s v="N/A"/>
    <n v="0"/>
    <m/>
    <x v="5"/>
    <s v="OR-343"/>
    <m/>
    <m/>
    <x v="3"/>
    <s v="UND"/>
    <x v="0"/>
    <s v="ENTREGA DE MATERIAL REQUERIDO PARA INSTALACION EN EQUIPO BOMBA "/>
  </r>
  <r>
    <m/>
    <m/>
    <d v="2022-08-25T00:00:00"/>
    <m/>
    <m/>
    <m/>
    <x v="0"/>
    <s v="UNIDAD DE BOMBEO"/>
    <m/>
    <x v="1"/>
    <s v="PREVENCION ANTE FUTURAS FALLAS"/>
    <s v="REEMPLAZO DE EMPAQUES EN BOMBA TRIPLEX &quot;A&quot;"/>
    <s v="N/A"/>
    <n v="0"/>
    <m/>
    <x v="6"/>
    <s v="65021190"/>
    <m/>
    <m/>
    <x v="3"/>
    <s v="UND"/>
    <x v="0"/>
    <s v="ENTREGA DE MATERIAL REQUERIDO PARA INSTALACION EN EQUIPO BOMBA "/>
  </r>
  <r>
    <m/>
    <m/>
    <d v="2022-08-26T00:00:00"/>
    <m/>
    <m/>
    <m/>
    <x v="0"/>
    <s v="UNIDAD DE BOMBEO"/>
    <m/>
    <x v="3"/>
    <s v="FRACTURA EN TAPAS DE FLUID-END  &quot;A&quot;"/>
    <s v="ENVIO DE COMPONENTE PARA TOMA DE MEDIDAS EN TALLER EXTERNO &quot;A. MOLINA&quot;"/>
    <s v="N/A"/>
    <n v="0"/>
    <m/>
    <x v="7"/>
    <s v="N/A"/>
    <m/>
    <m/>
    <x v="1"/>
    <s v="UND"/>
    <x v="1"/>
    <s v="ENVIO DE COMPONENTES DE LA BOMBA TRIPLEX ASOCIADO A EQUIPO COILED TUBING A PROVEEDOR EXTERNO (TOMA DE MEDIDAS PARA REALIZAR PRESUPUESTO)"/>
  </r>
  <r>
    <m/>
    <m/>
    <d v="2022-08-26T00:00:00"/>
    <m/>
    <m/>
    <m/>
    <x v="0"/>
    <s v="UNIDAD DE BOMBEO"/>
    <m/>
    <x v="3"/>
    <s v="FRACTURA EN TAPAS DE FLUID-END  &quot;B&quot;"/>
    <s v="ENVIO DE COMPONENTE PARA TOMA DE MEDIDAS EN TALLER EXTERNO &quot;A. MOLINA&quot;"/>
    <s v="N/A"/>
    <n v="0"/>
    <m/>
    <x v="8"/>
    <s v="N/A"/>
    <m/>
    <m/>
    <x v="1"/>
    <s v="UND"/>
    <x v="1"/>
    <s v="ENVIO DE COMPONENTES DE LA BOMBA TRIPLEX ASOCIADO A EQUIPO COILED TUBING A PROVEEDOR EXTERNO (TOMA DE MEDIDAS PARA REALIZAR PRESUPUESTO)"/>
  </r>
  <r>
    <m/>
    <m/>
    <d v="2022-08-26T00:00:00"/>
    <m/>
    <m/>
    <m/>
    <x v="0"/>
    <s v="POWER PACK"/>
    <m/>
    <x v="1"/>
    <s v="PREVENCION ANTE FUTURAS FALLAS"/>
    <s v="REEMPLAZO DE  FILTRO DE AIRE DEL MOTOR S60"/>
    <s v="N/A"/>
    <n v="0"/>
    <m/>
    <x v="9"/>
    <s v="CAT-612505"/>
    <s v="CAT"/>
    <m/>
    <x v="1"/>
    <s v="UND"/>
    <x v="0"/>
    <s v="ENTREGA DE MATERIAL REQUERIDO PARA ADAPTACION EN POWER PACK DE EQUIPO"/>
  </r>
  <r>
    <m/>
    <m/>
    <d v="2022-08-30T00:00:00"/>
    <m/>
    <m/>
    <m/>
    <x v="0"/>
    <s v="UNIDAD DE BOMBEO"/>
    <m/>
    <x v="3"/>
    <s v="FUGA DE REFRIGERANTE, EN SELLO DE LA BOMBA DE REFRIGERANTE"/>
    <s v="ENVIO DE BOMBA A TALLER EXTERNO &quot;MULTIBOMBAS EL TIGRE C.A&quot;  PARA REEMPLAZO DE SELLOS"/>
    <s v="GP-CT-2022-004"/>
    <n v="0"/>
    <m/>
    <x v="10"/>
    <s v="N/A"/>
    <s v="DETROIT"/>
    <n v="4280"/>
    <x v="1"/>
    <s v="UND"/>
    <x v="1"/>
    <s v="ENVIO DE COMPONENTE A SERVICIO DE REPARACION EN TALLER EXTERNO SEGÚN ODS: GP-CL-2022-004"/>
  </r>
  <r>
    <m/>
    <m/>
    <d v="2022-09-01T00:00:00"/>
    <m/>
    <m/>
    <m/>
    <x v="0"/>
    <s v="UNIDAD DE BOMBEO"/>
    <m/>
    <x v="3"/>
    <s v="FRACTURA EN TAPAS DE FLUID-END  &quot;A&quot;"/>
    <s v="INSTALACION  DE TAPA  DEL FLUID END &quot;A&quot;"/>
    <s v="N/A"/>
    <n v="0"/>
    <m/>
    <x v="7"/>
    <s v="N/A"/>
    <m/>
    <m/>
    <x v="1"/>
    <s v="UND"/>
    <x v="2"/>
    <s v="ENTREGA DE MATERIALES PARA REPARACION EN BOMBA DE LODO DEL EQUIPO"/>
  </r>
  <r>
    <m/>
    <m/>
    <d v="2022-09-01T00:00:00"/>
    <m/>
    <m/>
    <m/>
    <x v="0"/>
    <s v="UNIDAD DE BOMBEO"/>
    <m/>
    <x v="3"/>
    <s v="FRACTURA EN TAPAS DE FLUID-END  &quot;B&quot;"/>
    <s v="INSTALACION  DE TAPA  DEL FLUID END &quot;B&quot;"/>
    <s v="N/A"/>
    <n v="0"/>
    <m/>
    <x v="8"/>
    <s v="N/A"/>
    <m/>
    <m/>
    <x v="1"/>
    <s v="UND"/>
    <x v="2"/>
    <s v="ENTREGA DE MATERIALES PARA REPARACION EN BOMBA DE LODO DEL EQUIPO"/>
  </r>
  <r>
    <m/>
    <m/>
    <d v="2022-09-05T00:00:00"/>
    <m/>
    <m/>
    <m/>
    <x v="0"/>
    <s v="UNIDAD DE BOMBEO"/>
    <m/>
    <x v="3"/>
    <s v="FRACTURA EN TAPAS DE FLUID-END  &quot;A&quot;"/>
    <s v="INSTALACION  DE TAPA  DEL FLUID END &quot;A&quot;"/>
    <s v="N/A"/>
    <n v="0"/>
    <m/>
    <x v="11"/>
    <s v="N/A"/>
    <m/>
    <m/>
    <x v="1"/>
    <s v="UND"/>
    <x v="2"/>
    <s v="ENTREGA DE MATERIAL FABRICADO EN PROVEEDOR EXTERNO REQUERIDO PARA REPARACION DE BOMBA DE LODO ASOCIADA A EQUIPO"/>
  </r>
  <r>
    <m/>
    <m/>
    <d v="2022-09-06T00:00:00"/>
    <m/>
    <m/>
    <m/>
    <x v="0"/>
    <s v="CT"/>
    <m/>
    <x v="4"/>
    <s v="PREVENCION ANTE FUTURAS FALLAS"/>
    <s v="CERTIFICACION DE COMPONENTE EN TALLER EXTERNO &quot;SEBROMEN,C.A&quot; "/>
    <s v="GP-CT-2022-013"/>
    <n v="0"/>
    <m/>
    <x v="12"/>
    <s v="N/A"/>
    <s v="TEXAS OIL TOOLS"/>
    <s v="153-48329"/>
    <x v="1"/>
    <s v="UND"/>
    <x v="1"/>
    <s v="ENVIO DE COMPONENTE A SERVICIO DE CERTIFICACION EN PROVEEDOR EXTERNO SEGÚN ODS: GP-CL-2022-013 LA MISMA DEBE RETORNAR AL FINALIZAR SERVICIO"/>
  </r>
  <r>
    <m/>
    <m/>
    <d v="2022-09-06T00:00:00"/>
    <m/>
    <m/>
    <m/>
    <x v="0"/>
    <s v="CT"/>
    <m/>
    <x v="4"/>
    <s v="PREVENCION ANTE FUTURAS FALLAS"/>
    <s v="CERTIFICACION DE COMPONENTE EN TALLER EXTERNO &quot;SEBROMEN,C.A&quot; "/>
    <s v="GP-CT-2022-013"/>
    <n v="0"/>
    <m/>
    <x v="13"/>
    <s v="N/A"/>
    <s v="TEXAS OIL TOOLS"/>
    <s v="153-48327"/>
    <x v="1"/>
    <s v="UND"/>
    <x v="1"/>
    <s v="ENVIO DE COMPONENTE A SERVICIO DE CERTIFICACION EN PROVEEDOR EXTERNO SEGÚN ODS: GP-CL-2022-013 LA MISMA DEBE RETORNAR AL FINALIZAR SERVICIO"/>
  </r>
  <r>
    <m/>
    <m/>
    <d v="2022-09-13T00:00:00"/>
    <m/>
    <m/>
    <m/>
    <x v="0"/>
    <s v="UNIDAD DE BOMBEO"/>
    <m/>
    <x v="3"/>
    <s v="FUGA DE REFRIGERANTE, EN SELLO DE LA BOMBA DE REFRIGERANTE"/>
    <s v="INSTALACION DE  BOMBA DE REFRIGERANTE REPARADA EN PROVEEDOR EXTERNO &quot;MULTIBOMBAS EL TIGRE C.A&quot;"/>
    <s v="N/A"/>
    <n v="0"/>
    <m/>
    <x v="14"/>
    <s v="N/A"/>
    <m/>
    <s v="4260"/>
    <x v="1"/>
    <s v="UND"/>
    <x v="3"/>
    <s v="ENTREGA DE COMPONENTE PARA SER INSTALADO EN CAMION DEL EQUIPO COILED TUBING UBICADO EN BASE SAI"/>
  </r>
  <r>
    <m/>
    <m/>
    <d v="2022-09-26T00:00:00"/>
    <m/>
    <m/>
    <m/>
    <x v="0"/>
    <s v="CT"/>
    <m/>
    <x v="4"/>
    <s v="ADAPTACION DE HERRAMIENTA WELL-VAC Y SAND-VAC EN CT"/>
    <s v="ENVIO DE COMPONENTE PARA MECANIZACION EN TALLER EXTERNO &quot;A. MOLINA&quot;"/>
    <s v="GP-CT-2022-015"/>
    <n v="0"/>
    <m/>
    <x v="15"/>
    <s v="N/A"/>
    <m/>
    <m/>
    <x v="4"/>
    <s v="PZA"/>
    <x v="0"/>
    <s v="ENVIO DE COMPONENTE A PROVEEDOR EXTERNO PARA REALIZAR SERVICIO DE MECANIZADO SEGÚN ODS: GP-CL-2022-015"/>
  </r>
  <r>
    <m/>
    <m/>
    <d v="2022-09-26T00:00:00"/>
    <m/>
    <m/>
    <m/>
    <x v="0"/>
    <s v="CT"/>
    <m/>
    <x v="4"/>
    <s v="ADAPTACION DE HERRAMIENTA WELL-VAC Y SAND-VAC EN CT"/>
    <s v="ENVIO DE COMPONENTE PARA MECANIZACION EN TALLER EXTERNO &quot;A. MOLINA&quot;"/>
    <s v="GP-CT-2022-015"/>
    <n v="0"/>
    <m/>
    <x v="16"/>
    <s v="N/A"/>
    <m/>
    <m/>
    <x v="1"/>
    <s v="PZA"/>
    <x v="0"/>
    <s v="ENVIO DE COMPONENTE A PROVEEDOR EXTERNO PARA REALIZAR SERVICIO DE MECANIZADO SEGÚN ODS: GP-CL-2022-015"/>
  </r>
  <r>
    <m/>
    <m/>
    <d v="2022-09-27T00:00:00"/>
    <m/>
    <m/>
    <m/>
    <x v="0"/>
    <s v="UNIDAD DE BOMBEO"/>
    <m/>
    <x v="3"/>
    <s v="FALLA EN SISTEMA ELECTRICO"/>
    <s v="REEMPLAZO DE FUSIBLE EN PLC DE LA UNIDAD DE BOMBEO "/>
    <s v="N/A"/>
    <n v="0"/>
    <m/>
    <x v="17"/>
    <s v="617006"/>
    <m/>
    <m/>
    <x v="1"/>
    <s v="UND"/>
    <x v="0"/>
    <s v="ENTREGA DE MATERIAL PARA REEMPLAZO EN PLC DE LA UNIDAD BOMBA DEL EQUIPO COILED TUBING"/>
  </r>
  <r>
    <m/>
    <m/>
    <d v="2022-09-29T00:00:00"/>
    <m/>
    <m/>
    <m/>
    <x v="0"/>
    <s v="UNIDAD DE BOMBEO"/>
    <m/>
    <x v="1"/>
    <s v="PREVENCION ANTE FUTURAS FALLAS"/>
    <s v="REEMPLAZO DE FLUIDO REFRIGERANTE EN UNIDAD DE BOMBEO Y POWER PACK"/>
    <s v="N/A"/>
    <n v="0"/>
    <m/>
    <x v="18"/>
    <s v="1.006.0001.0007"/>
    <m/>
    <m/>
    <x v="5"/>
    <s v="LTS"/>
    <x v="0"/>
    <s v="ENTREGA DE MATERIAL REQUERIDO PARA CAMBIO DE REFRIGERANTE EN LA UNIDAD DE BOMBEO DEL EQUIPO COILED TUBING UBICADO EN BASE SAI"/>
  </r>
  <r>
    <m/>
    <m/>
    <d v="2022-10-04T00:00:00"/>
    <m/>
    <m/>
    <m/>
    <x v="0"/>
    <s v="CANOA"/>
    <m/>
    <x v="3"/>
    <s v="ADECUACIONES Y REEMPLAZO DE LAMINAS Y FLANGES"/>
    <s v="ENVIO DE COMPONENTE PARA REPARACION EN BASE TEPECA POR PERSONAL DE FABRICACION"/>
    <s v="N/A"/>
    <n v="0"/>
    <m/>
    <x v="19"/>
    <s v="N/A"/>
    <m/>
    <m/>
    <x v="1"/>
    <s v="UND"/>
    <x v="1"/>
    <s v="ENVIO DE COMPONENTE PARA REPARACION EN TALLER DE FABRICACION BASE TEPECA"/>
  </r>
  <r>
    <m/>
    <m/>
    <d v="2022-10-04T00:00:00"/>
    <m/>
    <m/>
    <m/>
    <x v="0"/>
    <s v="POWER PACK"/>
    <m/>
    <x v="1"/>
    <s v="PREVENCION ANTE FUTURAS FALLAS"/>
    <s v="REEMPLAZO DE FILTROS DE ACEITE DE MOTOR S60"/>
    <s v="N/A"/>
    <n v="0"/>
    <m/>
    <x v="20"/>
    <s v="2.030.0001.0005"/>
    <s v="MILLARD"/>
    <m/>
    <x v="4"/>
    <s v="UND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REEMPLAZO DE FILTRO SECUNDARIO DE COMBUSTIBLE DE MOTOR S60"/>
    <s v="N/A"/>
    <n v="0"/>
    <m/>
    <x v="21"/>
    <s v="2.031.0001.0013"/>
    <s v="WEB"/>
    <m/>
    <x v="1"/>
    <s v="UND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REEMPLAZO DE FILTRO PRIMARIO DE COMBUSTIBLE DE MOTOR S60"/>
    <s v="N/A"/>
    <n v="0"/>
    <m/>
    <x v="22"/>
    <s v="33118"/>
    <m/>
    <m/>
    <x v="1"/>
    <s v="UND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REEMPLAZO DE FILTRO DE COMBUSTIBLE EN TRAMPA DE AGUA DEL MOTOR S60"/>
    <s v="N/A"/>
    <n v="0"/>
    <m/>
    <x v="23"/>
    <s v="2.031.0001.0013"/>
    <m/>
    <m/>
    <x v="1"/>
    <s v="UND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CAMBIO DE ACEITE DE MOTOR S60"/>
    <s v="N/A"/>
    <n v="0"/>
    <m/>
    <x v="24"/>
    <s v="15W40"/>
    <m/>
    <m/>
    <x v="6"/>
    <s v="LTS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REEMPLAZO DE FILTRO DE REFRIGERANTE DEL MOTOR S60"/>
    <s v="N/A"/>
    <n v="0"/>
    <m/>
    <x v="25"/>
    <s v="N/A"/>
    <m/>
    <m/>
    <x v="1"/>
    <s v="UND"/>
    <x v="0"/>
    <s v=","/>
  </r>
  <r>
    <m/>
    <m/>
    <d v="2022-10-04T00:00:00"/>
    <m/>
    <m/>
    <m/>
    <x v="0"/>
    <s v="POWER PACK"/>
    <m/>
    <x v="1"/>
    <s v="PREVENCION ANTE FUTURAS FALLAS"/>
    <s v="REEMPLAZO DE FILTRO DEL SISTEMA HIDRAULICO DEL POWER PACK"/>
    <s v="N/A"/>
    <n v="0"/>
    <m/>
    <x v="26"/>
    <s v="N/A"/>
    <m/>
    <m/>
    <x v="4"/>
    <s v="UND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REEMPLAZO DE CORREA DE FAN DEL MOTOR S60"/>
    <s v="N/A"/>
    <n v="0"/>
    <m/>
    <x v="27"/>
    <s v="2.013.0001.0087"/>
    <m/>
    <m/>
    <x v="3"/>
    <s v="UND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REEMPLAZO DE CORREA DE ALTERNADOR DEL MOTOR S60"/>
    <s v="N/A"/>
    <n v="0"/>
    <m/>
    <x v="28"/>
    <s v="N/A"/>
    <m/>
    <m/>
    <x v="1"/>
    <s v="UND"/>
    <x v="0"/>
    <s v="ENTREGA DE MATERIAL PARA MANTENIMIENTO PREVENTIVO A EQUIPO COILED TUBING  (UNIDAD POWER PACK)"/>
  </r>
  <r>
    <m/>
    <m/>
    <d v="2022-10-04T00:00:00"/>
    <m/>
    <m/>
    <m/>
    <x v="0"/>
    <s v="POWER PACK"/>
    <m/>
    <x v="1"/>
    <s v="PREVENCION ANTE FUTURAS FALLAS"/>
    <s v="CAMBIO DE ACEITE DEL SISTEMA HIDRAULICO DEL POWER PACK"/>
    <s v="N/A"/>
    <n v="0"/>
    <m/>
    <x v="29"/>
    <s v="ISO68"/>
    <m/>
    <m/>
    <x v="7"/>
    <s v="LTS"/>
    <x v="0"/>
    <s v="ENTREGA DE MATERIAL PARA MANTENIMIENTO PREVENTIVO A EQUIPO COILED TUBING  (UNIDAD POWER PACK)"/>
  </r>
  <r>
    <m/>
    <m/>
    <d v="2022-10-05T00:00:00"/>
    <m/>
    <m/>
    <m/>
    <x v="0"/>
    <s v="UNIDAD DE BOMBEO"/>
    <m/>
    <x v="1"/>
    <s v="PREVENCION ANTE FUTURAS FALLAS"/>
    <s v="REEMPLAZO DE FILTROS EN MOTOR &quot;A&quot; Y &quot;B&quot; "/>
    <s v="N/A"/>
    <n v="0"/>
    <m/>
    <x v="20"/>
    <s v="2.030.0001.0005"/>
    <s v="MILLARD"/>
    <m/>
    <x v="0"/>
    <s v="UND"/>
    <x v="0"/>
    <s v="ENTREGA DE MATERIAL PARA MANTENIMIENTO PREVENTIVO A EQUIPO COILED TUBING  (UNIDAD DE BOMBEO)"/>
  </r>
  <r>
    <m/>
    <m/>
    <d v="2022-10-05T00:00:00"/>
    <m/>
    <m/>
    <m/>
    <x v="0"/>
    <s v="UNIDAD DE BOMBEO"/>
    <m/>
    <x v="1"/>
    <s v="PREVENCION ANTE FUTURAS FALLAS"/>
    <s v="CAMBIO DE FILTRO DE COMBUSTIBLE DE MOTOR &quot;A&quot; Y &quot;B&quot;"/>
    <s v="N/A"/>
    <n v="0"/>
    <m/>
    <x v="30"/>
    <s v="2.001.0006.0056"/>
    <s v="MILLARD"/>
    <m/>
    <x v="4"/>
    <s v="UND"/>
    <x v="0"/>
    <s v="ENTREGA DE MATERIAL PARA MANTENIMIENTO PREVENTIVO A EQUIPO COILED TUBING  (UNIDAD DE BOMBEO)"/>
  </r>
  <r>
    <m/>
    <m/>
    <d v="2022-10-05T00:00:00"/>
    <m/>
    <m/>
    <m/>
    <x v="0"/>
    <s v="UNIDAD DE BOMBEO"/>
    <m/>
    <x v="1"/>
    <s v="PREVENCION ANTE FUTURAS FALLAS"/>
    <s v="CAMBIO DE ACEITE A MOTOR &quot;A&quot; Y &quot;B&quot;"/>
    <s v="N/A"/>
    <n v="0"/>
    <m/>
    <x v="24"/>
    <s v="15W40"/>
    <m/>
    <m/>
    <x v="8"/>
    <s v="LTS"/>
    <x v="0"/>
    <s v="ENTREGA DE MATERIAL PARA MANTENIMIENTO PREVENTIVO A EQUIPO COILED TUBING  (UNIDAD DE BOMBEO)"/>
  </r>
  <r>
    <m/>
    <m/>
    <d v="2022-10-05T00:00:00"/>
    <m/>
    <m/>
    <m/>
    <x v="0"/>
    <s v="UNIDAD DE BOMBEO"/>
    <m/>
    <x v="0"/>
    <s v="HIGIENE Y SEGURIDAD"/>
    <s v="LIMPIEZA DE EQUIPO Y VALVULAS "/>
    <s v="N/A"/>
    <n v="0"/>
    <m/>
    <x v="31"/>
    <s v="N/A"/>
    <m/>
    <m/>
    <x v="1"/>
    <s v="UND"/>
    <x v="0"/>
    <s v="ENTREGA DE MATERIAL PARA MANTENIMIENTO PREVENTIVO A EQUIPO COILED TUBING  (UNIDAD DE BOMBEO)"/>
  </r>
  <r>
    <m/>
    <m/>
    <d v="2022-10-05T00:00:00"/>
    <m/>
    <m/>
    <m/>
    <x v="0"/>
    <s v="UNIDAD DE BOMBEO"/>
    <m/>
    <x v="1"/>
    <s v="PREVENCION ANTE FUTURAS FALLAS"/>
    <s v="CAMBIO DE ACEITE DE SISTEMA HIDRAULICO DE LA UNIDAD DE BOMBEO"/>
    <s v="N/A"/>
    <n v="0"/>
    <m/>
    <x v="29"/>
    <s v="ISO68"/>
    <m/>
    <m/>
    <x v="9"/>
    <s v="LTS"/>
    <x v="0"/>
    <s v="ENTREGA DE MATERIAL PARA MANTENIMIENTO PREVENTIVO A EQUIPO COILED TUBING  (UNIDAD DE BOMBEO)"/>
  </r>
  <r>
    <m/>
    <m/>
    <d v="2022-10-06T00:00:00"/>
    <m/>
    <m/>
    <m/>
    <x v="0"/>
    <s v="UNIDAD DE BOMBEO"/>
    <m/>
    <x v="1"/>
    <s v="PREVENCION ANTE FUTURAS FALLAS"/>
    <s v="REEMPLAZO DE CORREA DE FAN DE MOTOR &quot;A&quot; Y &quot;B&quot;"/>
    <s v="N/A"/>
    <n v="0"/>
    <m/>
    <x v="27"/>
    <s v="2.013.0001.0087"/>
    <s v="CONDOR"/>
    <m/>
    <x v="10"/>
    <s v="UND"/>
    <x v="0"/>
    <s v="ENTREGA DE MATERIAL REQUERIDO PARA SER INSTALADO EN BOMBA DE FLUIDO DEL EQUIPO COILED TUBING UBICADO EN BASE SAI"/>
  </r>
  <r>
    <m/>
    <m/>
    <d v="2022-10-06T00:00:00"/>
    <m/>
    <m/>
    <m/>
    <x v="0"/>
    <s v="UNIDAD DE BOMBEO"/>
    <m/>
    <x v="4"/>
    <s v="SIMPLICACION DE INSTALACION DE LINEAS EN CAMPO"/>
    <s v="INSTALACION DE LINEAS DE SUCCION Y DESCARGA DEL CT"/>
    <s v="N/A"/>
    <n v="0"/>
    <m/>
    <x v="32"/>
    <s v="N/A"/>
    <m/>
    <m/>
    <x v="0"/>
    <s v="UND"/>
    <x v="1"/>
    <s v="ENTREGA DE MATERIAL PARA INSTALACION EN UNIDAD DE BOMBEO (LINEA DE SUCCION Y DESCARGA) DEL EQUIPO COILED TUBING UBICADO EN BASE SAI"/>
  </r>
  <r>
    <m/>
    <m/>
    <d v="2022-10-06T00:00:00"/>
    <m/>
    <m/>
    <m/>
    <x v="0"/>
    <s v="UNIDAD DE BOMBEO"/>
    <m/>
    <x v="4"/>
    <s v="SIMPLICACION DE INSTALACION DE LINEAS EN CAMPO"/>
    <s v="INSTALACION DE LINEAS DE SUCCION Y DESCARGA DEL CT"/>
    <s v="N/A"/>
    <n v="0"/>
    <m/>
    <x v="33"/>
    <s v="N/A"/>
    <m/>
    <m/>
    <x v="1"/>
    <s v="UND"/>
    <x v="1"/>
    <s v="ENTREGA DE MATERIAL PARA INSTALACION EN UNIDAD DE BOMBEO (LINEA DE SUCCION Y DESCARGA) DEL EQUIPO COILED TUBING UBICADO EN BASE SAI"/>
  </r>
  <r>
    <m/>
    <m/>
    <d v="2022-10-06T00:00:00"/>
    <m/>
    <m/>
    <m/>
    <x v="0"/>
    <s v="UNIDAD DE BOMBEO"/>
    <m/>
    <x v="4"/>
    <s v="SIMPLICACION DE INSTALACION DE LINEAS EN CAMPO"/>
    <s v="INSTALACION DE LINEAS DE SUCCION Y DESCARGA DEL CT"/>
    <s v="N/A"/>
    <n v="0"/>
    <m/>
    <x v="34"/>
    <s v="N/A"/>
    <m/>
    <m/>
    <x v="1"/>
    <s v="UND"/>
    <x v="1"/>
    <s v="ENTREGA DE MATERIAL PARA INSTALACION EN UNIDAD DE BOMBEO (LINEA DE SUCCION Y DESCARGA) DEL EQUIPO COILED TUBING UBICADO EN BASE SAI"/>
  </r>
  <r>
    <m/>
    <m/>
    <d v="2022-10-06T00:00:00"/>
    <m/>
    <m/>
    <m/>
    <x v="0"/>
    <s v="UNIDAD DE BOMBEO"/>
    <m/>
    <x v="4"/>
    <s v="SIMPLICACION DE INSTALACION DE LINEAS EN CAMPO"/>
    <s v="INSTALACION DE LINEAS DE SUCCION Y DESCARGA DEL CT"/>
    <s v="N/A"/>
    <n v="0"/>
    <m/>
    <x v="35"/>
    <s v="N/A"/>
    <m/>
    <m/>
    <x v="0"/>
    <s v="UND"/>
    <x v="1"/>
    <s v="ENTREGA DE MATERIAL PARA INSTALACION EN UNIDAD DE BOMBEO (LINEA DE SUCCION Y DESCARGA) DEL EQUIPO COILED TUBING UBICADO EN BASE SAI"/>
  </r>
  <r>
    <m/>
    <m/>
    <d v="2022-10-07T00:00:00"/>
    <m/>
    <m/>
    <m/>
    <x v="0"/>
    <s v="TANQUE DE COMBUSTIBLE"/>
    <m/>
    <x v="4"/>
    <s v="ADECUACION DE SISTEMA DE DISTRIBUCION DE COMBUSTIBLE EN EL CAMPAMENTO"/>
    <s v="INSTALACION EN BOMBA NEUMATICA DE DIAFRAGMA"/>
    <s v="N/A"/>
    <n v="0"/>
    <m/>
    <x v="36"/>
    <s v="N/A"/>
    <m/>
    <m/>
    <x v="1"/>
    <s v="UND"/>
    <x v="1"/>
    <s v="ENTREGA DE MATERIAL REQUERIDO PARA USO EQUIPO COILED TUBING UBICADO EN BASE SAI"/>
  </r>
  <r>
    <m/>
    <m/>
    <d v="2022-10-07T00:00:00"/>
    <m/>
    <m/>
    <m/>
    <x v="0"/>
    <s v="TANQUE DE COMBUSTIBLE"/>
    <m/>
    <x v="4"/>
    <s v="ADECUACION DE SISTEMA DE DISTRIBUCION DE COMBUSTIBLE EN EL CAMPAMENTO"/>
    <s v="INSTALACION EN BOMBA NEUMATICA DE DIAFRAGMA"/>
    <s v="N/A"/>
    <n v="0"/>
    <m/>
    <x v="37"/>
    <s v="N/A"/>
    <m/>
    <m/>
    <x v="11"/>
    <s v="MTS"/>
    <x v="0"/>
    <s v="ENTREGA DE MATERIAL PARA INSTALACION EN DISTRIBUCION DE COMBUSTIBLE DEL EQUIPO COILED TUBING UBICADO EN BASE SAI"/>
  </r>
  <r>
    <m/>
    <m/>
    <d v="2022-10-10T00:00:00"/>
    <m/>
    <m/>
    <m/>
    <x v="0"/>
    <s v="INYECTOR"/>
    <m/>
    <x v="1"/>
    <s v="BAJO NIVEL DE ACEITE "/>
    <s v="COMPLETACION DE NIVEL DE ACEITE EN LUBRICACION DE CADENAS DEL INYECTOR"/>
    <s v="N/A"/>
    <n v="0"/>
    <m/>
    <x v="38"/>
    <s v="ISO68"/>
    <m/>
    <m/>
    <x v="12"/>
    <s v="LTS"/>
    <x v="1"/>
    <s v="ENTREGA DE LUBRICANTES PARA LUBRICACION DE CADENAS DEL EQUIPO COILED TUBING UBICADO EN BASE SAI"/>
  </r>
  <r>
    <m/>
    <m/>
    <d v="2022-10-10T00:00:00"/>
    <m/>
    <m/>
    <m/>
    <x v="0"/>
    <s v="UNIDAD DE BOMBEO"/>
    <m/>
    <x v="1"/>
    <s v="PREVENCION ANTE FUTURAS FALLAS"/>
    <s v="REEMPLAZO DE CORREA DE ALTERNADOR DE MOTOR &quot;A&quot; Y &quot;B&quot;"/>
    <s v="N/A"/>
    <n v="0"/>
    <m/>
    <x v="39"/>
    <s v="2.013.0001.0010"/>
    <s v="IRON FLEX"/>
    <m/>
    <x v="0"/>
    <s v="UND"/>
    <x v="0"/>
    <s v="ENTREGA DE MATERIAL REQUERIDO PARA SER INSTALADO EN LA UNIDAD DE BOMBEO DEL EQUIPO COILED TUBING UBICADO EN BASE SAI"/>
  </r>
  <r>
    <m/>
    <m/>
    <d v="2022-10-11T00:00:00"/>
    <m/>
    <m/>
    <m/>
    <x v="0"/>
    <s v="STRIPPER"/>
    <m/>
    <x v="4"/>
    <s v="FATIGA DE ELEMENTOS SELLANTES "/>
    <s v="REEMPLAZO DE PACKER INTERLOCK"/>
    <s v="N/A"/>
    <n v="0"/>
    <m/>
    <x v="40"/>
    <s v="8412-6061"/>
    <m/>
    <m/>
    <x v="1"/>
    <s v="UND"/>
    <x v="0"/>
    <s v="ENTREGA DE MATERIALES PARA INSTALACION EN INYECCION LOW (PROVENIENTE DE MATERIAL BAJO RESGUARDO DEL EQUIPO COILED TUBING)"/>
  </r>
  <r>
    <m/>
    <m/>
    <d v="2022-10-11T00:00:00"/>
    <m/>
    <m/>
    <m/>
    <x v="0"/>
    <s v="STRIPPER"/>
    <m/>
    <x v="4"/>
    <s v="FATIGA DE ELEMENTOS SELLANTES "/>
    <s v="REEMPLAZO DE NON EXTRUSION"/>
    <s v="N/A"/>
    <n v="0"/>
    <m/>
    <x v="41"/>
    <s v="8412-2461"/>
    <m/>
    <m/>
    <x v="1"/>
    <s v="UND"/>
    <x v="0"/>
    <s v="ENTREGA DE MATERIALES PARA INSTALACION EN INYECCION LOW (PROVENIENTE DE MATERIAL BAJO RESGUARDO DEL EQUIPO COILED TUBING)"/>
  </r>
  <r>
    <m/>
    <m/>
    <d v="2022-10-11T00:00:00"/>
    <m/>
    <m/>
    <m/>
    <x v="0"/>
    <s v="STRIPPER"/>
    <m/>
    <x v="4"/>
    <s v="FATIGA DE ELEMENTOS SELLANTES "/>
    <s v="REEMPLAZO DE ENERGIZADOR"/>
    <s v="N/A"/>
    <n v="0"/>
    <m/>
    <x v="42"/>
    <s v="8412-3750"/>
    <m/>
    <m/>
    <x v="1"/>
    <s v="UND"/>
    <x v="0"/>
    <s v="ENTREGA DE MATERIALES PARA INSTALACION EN INYECCION LOW (PROVENIENTE DE MATERIAL BAJO RESGUARDO DEL EQUIPO COILED TUBING)"/>
  </r>
  <r>
    <m/>
    <m/>
    <d v="2022-10-13T00:00:00"/>
    <m/>
    <m/>
    <m/>
    <x v="0"/>
    <s v="CT"/>
    <m/>
    <x v="4"/>
    <s v="PREVENCION ANTE FUTURAS FALLAS"/>
    <s v="REEMPLAZO DE DISTINTOS SELLOS EN EQUIPOS Y COMPONENTES"/>
    <s v="N/A"/>
    <n v="0"/>
    <m/>
    <x v="43"/>
    <s v="N/A"/>
    <m/>
    <m/>
    <x v="1"/>
    <s v="KIT"/>
    <x v="0"/>
    <s v="ENTREGA DE MATERIAL PARA ASIGNACION A PERSONAL DE EQUIPO COILED TUBING UBICADO EN BASE SAI"/>
  </r>
  <r>
    <m/>
    <m/>
    <d v="2022-10-13T00:00:00"/>
    <m/>
    <m/>
    <m/>
    <x v="0"/>
    <s v="GENERADOR 10KVA"/>
    <m/>
    <x v="1"/>
    <s v="PREVENCION ANTE FUTURAS FALLAS"/>
    <s v="CAMBIO DE ACEITE DE MOTOR DE GENERADOR DE 10KVA"/>
    <s v="N/A"/>
    <n v="0"/>
    <m/>
    <x v="24"/>
    <s v="15W40"/>
    <m/>
    <m/>
    <x v="0"/>
    <s v="LTS"/>
    <x v="0"/>
    <s v="ENTREGA DE LUBRICANTE PARA COMPLETACION DE NIVEL EN GENERADOR DEL EQUIPO COILED TUBING"/>
  </r>
  <r>
    <m/>
    <m/>
    <d v="2022-10-13T00:00:00"/>
    <m/>
    <m/>
    <m/>
    <x v="0"/>
    <s v="GENERADOR 10KVA"/>
    <m/>
    <x v="1"/>
    <s v="PREVENCION ANTE FUTURAS FALLAS"/>
    <s v="REEMPLAZO DE FILTRO DE ACEITE DE MOTOR DE GENERADOR DE 10KVA"/>
    <s v="N/A"/>
    <n v="0"/>
    <m/>
    <x v="44"/>
    <n v="200100020008"/>
    <m/>
    <m/>
    <x v="1"/>
    <s v="UND"/>
    <x v="0"/>
    <s v="ENTREGA DE MATERIAL PARA SER INSTALADO EN GENERADOR ELECTRICO  Y POWER PACK DEL EQUIPO COILED TUBING UBICADO EN BASE SAI"/>
  </r>
  <r>
    <m/>
    <m/>
    <d v="2022-10-13T00:00:00"/>
    <m/>
    <m/>
    <m/>
    <x v="0"/>
    <s v="GENERADOR 10KVA"/>
    <m/>
    <x v="1"/>
    <s v="PREVENCION ANTE FUTURAS FALLAS"/>
    <s v="REEMPLAZO DE FILTRO DE COMBUSTIBLE DE MOTOR DE GENERADOR DE 10KVA"/>
    <s v="N/A"/>
    <n v="0"/>
    <m/>
    <x v="45"/>
    <s v="N/A"/>
    <m/>
    <m/>
    <x v="1"/>
    <s v="UND"/>
    <x v="0"/>
    <s v="ENTREGA DE MATERIAL PARA SER INSTALADO EN GENERADOR ELECTRICO  Y POWER PACK DEL EQUIPO COILED TUBING UBICADO EN BASE SAI"/>
  </r>
  <r>
    <m/>
    <m/>
    <d v="2022-10-13T00:00:00"/>
    <m/>
    <m/>
    <m/>
    <x v="0"/>
    <s v="GENERADOR 10KVA"/>
    <m/>
    <x v="1"/>
    <s v="PREVENCION ANTE FUTURAS FALLAS"/>
    <s v="REEMPLAZO DE FILTRO DE AIRE DE MOTOR DE GENERADOR DE 10KVA"/>
    <s v="N/A"/>
    <n v="0"/>
    <m/>
    <x v="46"/>
    <s v="N/A"/>
    <m/>
    <m/>
    <x v="1"/>
    <s v="UND"/>
    <x v="0"/>
    <s v="ENTREGA DE MATERIAL PARA SER INSTALADO EN GENERADOR ELECTRICO  Y POWER PACK DEL EQUIPO COILED TUBING UBICADO EN BASE SAI"/>
  </r>
  <r>
    <m/>
    <m/>
    <d v="2022-10-14T00:00:00"/>
    <m/>
    <m/>
    <m/>
    <x v="0"/>
    <s v="TANQUE DE COMBUSTIBLE"/>
    <m/>
    <x v="4"/>
    <s v="ADECUACION DE SISTEMA DE DISTRIBUCION DE COMBUSTIBLE EN EL CAMPAMENTO"/>
    <s v="INSTALACION EN TANQUE DE COMBUSTIBLE DEL CAMPAMENTO"/>
    <s v="N/A"/>
    <n v="0"/>
    <m/>
    <x v="47"/>
    <s v="992141S44"/>
    <m/>
    <m/>
    <x v="1"/>
    <s v="UND"/>
    <x v="0"/>
    <s v="ENTREGA DE MATERIAL PARA SER INSTALADO EN SISTEMA DE COMBUSTIBLE DEL EQUIPO COILED TUBING UBICADO EN BASE SAI"/>
  </r>
  <r>
    <m/>
    <m/>
    <d v="2022-10-18T00:00:00"/>
    <m/>
    <m/>
    <m/>
    <x v="0"/>
    <s v="CT"/>
    <m/>
    <x v="4"/>
    <s v="ADECUACION DEL SISTEMA NEUMATICO DEL CT"/>
    <s v="INSTALACION DE TAPON EN SISTEMA NEUMATICO"/>
    <s v="N/A"/>
    <n v="0"/>
    <m/>
    <x v="48"/>
    <s v="4PNMP4"/>
    <m/>
    <m/>
    <x v="1"/>
    <s v="UND"/>
    <x v="0"/>
    <s v="ENTREGA DE MATERIAL REQUERIDO PARA INSTALACION EN SISTEMA NEUMATICO DEL EQUIPO COILED TUBING UBICADO EN BASE SAI"/>
  </r>
  <r>
    <m/>
    <m/>
    <d v="2022-10-20T00:00:00"/>
    <m/>
    <m/>
    <m/>
    <x v="0"/>
    <s v="UNIDAD DE BOMBEO"/>
    <m/>
    <x v="0"/>
    <s v="BAJO NIVEL DE COMBUSTIBLE"/>
    <s v="COMPLETACION DE NIVEL EN BASE TEPECA"/>
    <s v="N/A"/>
    <n v="0"/>
    <m/>
    <x v="49"/>
    <s v="N/A"/>
    <s v="JEREH"/>
    <n v="11150013"/>
    <x v="1"/>
    <s v="EQUIPO"/>
    <x v="1"/>
    <s v="SALIDA DE EQUIPO A BASE TEPECA PARA CARGA DE GASOIL. DEBE RETORNAR A BASE SAI AL FINALIZAR ACTIVIDAD"/>
  </r>
  <r>
    <m/>
    <m/>
    <d v="2022-10-21T00:00:00"/>
    <m/>
    <m/>
    <m/>
    <x v="0"/>
    <s v="UNIDAD DE BOMBEO"/>
    <m/>
    <x v="1"/>
    <s v="PREVENCION ANTE FUTURAS FALLAS"/>
    <s v="REEMPLAZO DE SELLO DE VALVULAS DEL FLUID END DE LA BOMBA TRIPLEX &quot;B&quot;"/>
    <s v="N/A"/>
    <n v="0"/>
    <m/>
    <x v="50"/>
    <s v="MI-62"/>
    <m/>
    <m/>
    <x v="3"/>
    <s v="UND"/>
    <x v="0"/>
    <s v="ENTREGA DE MATERIAL REQUERIDO PARA SER INSTALADO EN UNIDAD DE BOMBEO, ASOCIADO AL EQUIPO COILED TUBING (TOMADO DE INVENTARIO COILED TUBING)"/>
  </r>
  <r>
    <m/>
    <m/>
    <d v="2022-10-24T00:00:00"/>
    <m/>
    <m/>
    <m/>
    <x v="0"/>
    <s v="UNIDAD DE BOMBEO"/>
    <m/>
    <x v="0"/>
    <s v="BAJO NIVEL DE COMBUSTIBLE"/>
    <s v="COMPLETACION DE NIVEL EN BASE TEPECA"/>
    <s v="N/A"/>
    <n v="0"/>
    <m/>
    <x v="49"/>
    <s v="N/A"/>
    <s v="JEREH"/>
    <n v="11150013"/>
    <x v="1"/>
    <s v="EQUIPO"/>
    <x v="1"/>
    <s v="SALIDA DE EQUIPO A BASE TEPECA PARA CARGA DE GASOIL. DEBE RETORNAR A BASE SAI AL FINALIZAR ACTIVIDAD"/>
  </r>
  <r>
    <m/>
    <m/>
    <d v="2022-10-26T00:00:00"/>
    <m/>
    <m/>
    <m/>
    <x v="0"/>
    <s v="GENERADOR 10KVA"/>
    <m/>
    <x v="3"/>
    <s v="DINAMO DAÑADO"/>
    <s v="BUSQUEDA DE COMPONENTE EN PROVEEDORES LOCALES"/>
    <s v="N/A"/>
    <n v="0"/>
    <m/>
    <x v="51"/>
    <s v="N/A"/>
    <m/>
    <s v="GP9928"/>
    <x v="1"/>
    <s v="UND"/>
    <x v="1"/>
    <s v="COMPONENTE PARA SER UTILIZADO COMO MUESTRA EN VARIOS PROVEEDORES, DEBE RETORNA A BASE SAI"/>
  </r>
  <r>
    <m/>
    <m/>
    <d v="2022-10-26T00:00:00"/>
    <m/>
    <m/>
    <m/>
    <x v="1"/>
    <s v="TP-CH-018"/>
    <m/>
    <x v="2"/>
    <s v="PRESTAMO DE INSUMOS "/>
    <s v="PRESTAMO DE INSUMOS A DPTO. DE MTTO."/>
    <s v="N/A"/>
    <n v="0"/>
    <m/>
    <x v="24"/>
    <s v="N/A"/>
    <m/>
    <m/>
    <x v="4"/>
    <s v="UND"/>
    <x v="1"/>
    <s v="ENTREGA DE CONSUMIBLE PARA COMPLETACION DE NIVEL AL CHUTO TP-018"/>
  </r>
  <r>
    <m/>
    <m/>
    <d v="2022-10-26T00:00:00"/>
    <m/>
    <m/>
    <m/>
    <x v="0"/>
    <s v="CT"/>
    <m/>
    <x v="0"/>
    <s v="PREVENCION ANTE FUTURAS FALLAS"/>
    <s v="ENGRASE DE RUTINA A JOINTS SWIVELS EN EQUIPO"/>
    <s v="N/A"/>
    <n v="0"/>
    <m/>
    <x v="52"/>
    <s v="1.006.0003.0012"/>
    <s v="SHELL"/>
    <m/>
    <x v="1"/>
    <s v="UND"/>
    <x v="0"/>
    <s v="ENTREGA DE MATERIAL PARA ENGRASE DE JOINT SWIVEL EN EL EQUIPO COILED TUBING"/>
  </r>
  <r>
    <m/>
    <m/>
    <d v="2022-10-26T00:00:00"/>
    <m/>
    <m/>
    <m/>
    <x v="0"/>
    <s v="CT"/>
    <m/>
    <x v="0"/>
    <s v="PREVENCION ANTE FUTURAS FALLAS"/>
    <s v="ENGRASE DE RUTINA VALVULAS DE EN EQUIPO"/>
    <s v="N/A"/>
    <n v="0"/>
    <m/>
    <x v="53"/>
    <s v="3100453"/>
    <m/>
    <m/>
    <x v="0"/>
    <s v="UND"/>
    <x v="0"/>
    <s v="ENTREGA DE MATERIAL PARA ENGRASE DE VALVULA EN EL EQUIPO COILED TUBING"/>
  </r>
  <r>
    <m/>
    <m/>
    <d v="2022-10-27T00:00:00"/>
    <m/>
    <m/>
    <m/>
    <x v="0"/>
    <s v="UNIDAD DE BOMBEO"/>
    <m/>
    <x v="3"/>
    <s v="BAJO NIVEL DE ACEITE "/>
    <s v="COMPLETACION DE NIVEL DE ACEITE EN LUBRICACION DE PLUNGER DE BOMBAS TRIPLEX &quot;A&quot; Y &quot;B&quot;"/>
    <s v="N/A"/>
    <n v="0"/>
    <m/>
    <x v="38"/>
    <s v="N/A"/>
    <m/>
    <m/>
    <x v="13"/>
    <s v="LTS"/>
    <x v="1"/>
    <s v="ENTREGA DE CONSUMIBLE PARA COMPLETACION DE NIVEL BOMBA DE LODO ASOCIADO AL EQUIPO COILED TUBING"/>
  </r>
  <r>
    <m/>
    <m/>
    <d v="2022-10-28T00:00:00"/>
    <m/>
    <m/>
    <m/>
    <x v="2"/>
    <s v="TP-MT-017"/>
    <m/>
    <x v="2"/>
    <s v="PRESTAMO DE INSUMOS "/>
    <s v="PRESTAMO DE INSUMOS PARA INSTALACION EN MONTCARGAS HYSTER "/>
    <s v="N/A"/>
    <n v="0"/>
    <m/>
    <x v="54"/>
    <s v="N/A"/>
    <s v="GOODYEAR"/>
    <m/>
    <x v="10"/>
    <s v="UND"/>
    <x v="1"/>
    <s v="ENVIO DE MATERIALES A PROVEEDOR EXTERNO PARA SERVICIO DE MONTURA EN RINES DEL  MONTARCAGA HISTER ASOCIADO A EQUIPO SAI-205 SEGÚN ODS: MT-MP-2022-333 (MATERIAL TOMADO DEL RESGUARDO PERTENECIENTE AL EQUIPO COILED TUBING)"/>
  </r>
  <r>
    <m/>
    <m/>
    <d v="2022-11-02T00:00:00"/>
    <m/>
    <m/>
    <m/>
    <x v="0"/>
    <s v="UNIDAD DE BOMBEO"/>
    <m/>
    <x v="1"/>
    <s v="PREVENCION ANTE FUTURAS FALLAS"/>
    <s v="CAMBIO DE ACEITE EN FLUID END &quot;A&quot; Y &quot;B&quot;"/>
    <s v="N/A"/>
    <n v="0"/>
    <m/>
    <x v="55"/>
    <s v="80W90"/>
    <m/>
    <m/>
    <x v="14"/>
    <s v="LTS"/>
    <x v="0"/>
    <s v="ENTREGA DE LUBRICANTE PARA CAMBIO EN POWER END ASOCIADO AL EQUIPO COILED TUBING UBICADO EN BASE SAI"/>
  </r>
  <r>
    <m/>
    <m/>
    <d v="2022-11-02T00:00:00"/>
    <m/>
    <m/>
    <m/>
    <x v="0"/>
    <s v="CANOA"/>
    <m/>
    <x v="4"/>
    <s v="ADECUACION Y REPARACION DE CANOA "/>
    <s v="FABRICACION DE PERNOS PARA INSTALACION DE VALVULAS MARIPOSAS EN CANOA"/>
    <s v="N/A"/>
    <n v="0"/>
    <m/>
    <x v="56"/>
    <s v="N/A"/>
    <m/>
    <m/>
    <x v="1"/>
    <s v="UND"/>
    <x v="0"/>
    <s v="ENTREGA DE MATERIAL PARA INSTALACION DE VALVULA EN CANOA ASOCIADA AL EQUIPO COILED TUBING UBICADO EN BASE SAI"/>
  </r>
  <r>
    <m/>
    <m/>
    <d v="2022-11-02T00:00:00"/>
    <m/>
    <m/>
    <m/>
    <x v="0"/>
    <s v="CANOA"/>
    <m/>
    <x v="4"/>
    <s v="ADECUACION Y REPARACION DE CANOA "/>
    <s v="FABRICACION DE PERNOS PARA INSTALACION DE VALVULAS MARIPOSAS EN CANOA"/>
    <s v="N/A"/>
    <n v="0"/>
    <m/>
    <x v="57"/>
    <s v="1H8657"/>
    <m/>
    <m/>
    <x v="15"/>
    <s v="UND"/>
    <x v="0"/>
    <s v="ENTREGA DE MATERIAL PARA INSTALACION DE VALVULA EN CANOA ASOCIADA AL EQUIPO COILED TUBING UBICADO EN BASE SAI"/>
  </r>
  <r>
    <m/>
    <m/>
    <d v="2022-11-02T00:00:00"/>
    <m/>
    <m/>
    <m/>
    <x v="0"/>
    <s v="CANOA"/>
    <m/>
    <x v="4"/>
    <s v="ADECUACION Y REPARACION DE CANOA "/>
    <s v="FABRICACION DE PERNOS PARA INSTALACION DE VALVULAS MARIPOSAS EN CANOA"/>
    <s v="N/A"/>
    <n v="0"/>
    <m/>
    <x v="58"/>
    <s v="N/A"/>
    <m/>
    <m/>
    <x v="1"/>
    <s v="UND"/>
    <x v="0"/>
    <s v="ENTREGA DE MATERIAL PARA MANTENIMIENTOS EN EL EQUIPO COILED TUBING UBICADO EN BASE SAI"/>
  </r>
  <r>
    <m/>
    <m/>
    <d v="2022-11-02T00:00:00"/>
    <m/>
    <m/>
    <m/>
    <x v="0"/>
    <s v="UNIDAD DE BOMBEO"/>
    <m/>
    <x v="4"/>
    <s v="SENSORES DE PRESION DESCALIBRADOS"/>
    <s v="CALIBRACION DE SENSORES DE PRESION CONVENCIONALES"/>
    <s v="N/A"/>
    <n v="0"/>
    <m/>
    <x v="59"/>
    <s v="W154"/>
    <m/>
    <m/>
    <x v="1"/>
    <s v="GALON"/>
    <x v="0"/>
    <s v="ENTREGA DE MATERIALES PARA ACTIVIDADES EN EL EQUIPO COILED TUBING UBICADO EN BASE SAI"/>
  </r>
  <r>
    <m/>
    <m/>
    <d v="2022-11-02T00:00:00"/>
    <m/>
    <m/>
    <m/>
    <x v="0"/>
    <s v="UNIDAD DE BOMBEO"/>
    <m/>
    <x v="4"/>
    <s v="ADECUACION DE SENSOR DE PRESION DESCALIBRADOS"/>
    <s v="CALIBRACION DE SENSORES DE PRESION CONVENCIONALES"/>
    <s v="N/A"/>
    <n v="0"/>
    <m/>
    <x v="60"/>
    <s v="4P470MN"/>
    <m/>
    <m/>
    <x v="1"/>
    <s v="UND"/>
    <x v="0"/>
    <s v="ENTREGA DE MATERIALES PARA ACTIVIDADES EN EL EQUIPO COILED TUBING UBICADO EN BASE SAI"/>
  </r>
  <r>
    <m/>
    <m/>
    <d v="2022-11-03T00:00:00"/>
    <m/>
    <m/>
    <m/>
    <x v="0"/>
    <s v="POWER PACK"/>
    <m/>
    <x v="4"/>
    <s v="INDICADORES DE PRESION HIDRAULICA EXTERIORES DAÑADOS"/>
    <s v="REEMPLAZO DE MANOMETROS EXTERNOS"/>
    <s v="N/A"/>
    <n v="0"/>
    <m/>
    <x v="61"/>
    <s v="N/A"/>
    <s v="BAUMER"/>
    <m/>
    <x v="3"/>
    <s v="UND"/>
    <x v="0"/>
    <s v="ENTREGA DE MATERIAL PARA INSTALACION EN UNIDAD POWER PACK DEL EQUIPO COILED TUBING UBICADO EN BASE SAI"/>
  </r>
  <r>
    <m/>
    <m/>
    <d v="2022-11-03T00:00:00"/>
    <m/>
    <m/>
    <m/>
    <x v="0"/>
    <s v="CT"/>
    <m/>
    <x v="2"/>
    <s v="DEVOLUCION POR NO APLICAR A LO REQUERIDO"/>
    <s v="ENVIO DE HERRAMIENTA A BASE TEPECA PARA REEMPLAZO POR PARTE DE PROVEEDOR"/>
    <s v="N/A"/>
    <n v="0"/>
    <m/>
    <x v="62"/>
    <s v="N/A"/>
    <s v="RIDGID"/>
    <m/>
    <x v="1"/>
    <s v="UND"/>
    <x v="0"/>
    <s v="ENVIO DE HERRAMIENTA A BASE TEPECA PARA RESGUARDO Y POSTERIOR DEVOLUCION A PROVEEDOR"/>
  </r>
  <r>
    <m/>
    <m/>
    <d v="2022-11-04T00:00:00"/>
    <m/>
    <m/>
    <m/>
    <x v="3"/>
    <s v="SAI-215"/>
    <m/>
    <x v="2"/>
    <s v="PRESTAMO DE INSUMOS "/>
    <s v="PRESTAMO DE INSUMOS A DPTO. DE MTTO."/>
    <s v="N/A"/>
    <n v="0"/>
    <m/>
    <x v="38"/>
    <s v="N/A"/>
    <m/>
    <m/>
    <x v="16"/>
    <s v="LTS"/>
    <x v="1"/>
    <s v="ENVIO DE LUBRICANTE PARA COMPLETACION DE NIVEL EN EL SISTEMA HIDRAULICO DEL HOIST Y ACUMULADOR DE PRESION ASOCIADO AL EQUIPO SAI-215 (TOMADO EN CALIDAD DE PRESTAMO DEL EQUIPO COILED TUBING)"/>
  </r>
  <r>
    <m/>
    <m/>
    <d v="2022-11-04T00:00:00"/>
    <m/>
    <m/>
    <m/>
    <x v="4"/>
    <s v="TP-554"/>
    <m/>
    <x v="2"/>
    <s v="PRESTAMO DE INSUMOS "/>
    <s v="PRESTAMO DE INSUMOS A DPTO. DE MTTO."/>
    <s v="N/A"/>
    <n v="0"/>
    <m/>
    <x v="38"/>
    <s v="N/A"/>
    <m/>
    <m/>
    <x v="17"/>
    <s v="LTS"/>
    <x v="1"/>
    <s v="ENVIO DE LUBRICANTE PARA COMPLETACION DE NIVEL EN EL SISTEMA HIDRAULICO PRINCIPAL  ASOCIADO AL EQUIPO TP-554 (TOMADO EN CALIDAD DE PRESTAMO DEL EQUIPO COILED TUBING)"/>
  </r>
  <r>
    <m/>
    <m/>
    <d v="2022-11-04T00:00:00"/>
    <m/>
    <m/>
    <m/>
    <x v="5"/>
    <s v="TP-552"/>
    <m/>
    <x v="2"/>
    <s v="PRESTAMO DE INSUMOS"/>
    <s v="PRESTAMO DE INSUMOS A DPTO. DE MTTO."/>
    <s v="N/A"/>
    <n v="0"/>
    <m/>
    <x v="38"/>
    <s v="N/A"/>
    <m/>
    <m/>
    <x v="17"/>
    <s v="LTS"/>
    <x v="1"/>
    <s v="ENVIO DE LUBRICANTE PARA COMPLETACION DE NIVEL EN EL SISTEMA HIDRAULICO PRINCIPAL  ASOCIADO AL EQUIPO TP-552 (TOMADO EN CALIDAD DE PRESTAMO DEL EQUIPO COILED TUBING)"/>
  </r>
  <r>
    <m/>
    <m/>
    <d v="2022-11-08T00:00:00"/>
    <m/>
    <m/>
    <m/>
    <x v="0"/>
    <s v="CT"/>
    <m/>
    <x v="2"/>
    <s v="DEVOLUCION POR NO APLICAR A LO REQUERIDO"/>
    <s v="ENVIO DE HERRAMIENTA A BASE TEPECA PARA REEMPLAZO POR PARTE DE PROVEEDOR"/>
    <s v="N/A"/>
    <n v="0"/>
    <m/>
    <x v="63"/>
    <s v="N/A"/>
    <s v="FLUKE"/>
    <m/>
    <x v="1"/>
    <s v="UND"/>
    <x v="0"/>
    <s v="ENVIO DE MATERIAL A BASE TEPECA PARA RESGUARDO Y POSTERIOR DEVOLUCION A PROVEEDOR POR NO CUMPLIR CON LOS REQUERIMIENTOS"/>
  </r>
  <r>
    <m/>
    <m/>
    <d v="2022-11-08T00:00:00"/>
    <m/>
    <m/>
    <m/>
    <x v="6"/>
    <s v="PDV-181"/>
    <m/>
    <x v="2"/>
    <s v="PRESTAMO DE INSUMOS "/>
    <s v="PRESTAMO DE INSUMOS A DPTO. DE MTTO."/>
    <s v="N/A"/>
    <n v="0"/>
    <m/>
    <x v="38"/>
    <s v="N/A"/>
    <m/>
    <m/>
    <x v="16"/>
    <s v="LTS"/>
    <x v="1"/>
    <s v="ENVIO DE LUBRICANTE PARA COMPLETACION DE NIVEL EN EL SISTEMA HIDRAULICO  ASOCIADO AL EQUIPO PDV-181 (MATERIAL TOMADO EN CALIDAD DE PRESTAMO DEL EQUIPO COILED TUBING)"/>
  </r>
  <r>
    <m/>
    <m/>
    <d v="2022-11-08T00:00:00"/>
    <m/>
    <m/>
    <m/>
    <x v="7"/>
    <s v="SAI-205"/>
    <m/>
    <x v="2"/>
    <s v="PRESTAMO DE INSUMOS "/>
    <s v="PRESTAMO DE INSUMOS A DPTO. DE MTTO."/>
    <s v="N/A"/>
    <n v="0"/>
    <m/>
    <x v="38"/>
    <s v="N/A"/>
    <m/>
    <m/>
    <x v="16"/>
    <s v="LTS"/>
    <x v="1"/>
    <s v="ENVIO DE LUBRICANTE PARA COMPLETACION DE NIVEL EN EL SISTEMA HIDRAULICO  ASOCIADO AL EQUIPO SAI-205 (MATERIAL TOMADO EN CALIDAD DE PRESTAMO DEL EQUIPO COILED TUBING)"/>
  </r>
  <r>
    <m/>
    <m/>
    <d v="2022-11-08T00:00:00"/>
    <m/>
    <m/>
    <m/>
    <x v="0"/>
    <s v="POWER PACK"/>
    <m/>
    <x v="4"/>
    <s v="INDICADOR DE PRESION HIDRAULICA EXTERIOR DAÑADO"/>
    <s v="REEMPLAZO DE MANOMETRO EXTERNO"/>
    <s v="N/A"/>
    <n v="0"/>
    <m/>
    <x v="61"/>
    <s v="N/A"/>
    <m/>
    <m/>
    <x v="1"/>
    <s v="UND"/>
    <x v="0"/>
    <s v="ENTREGA DE MATERIAL PARA INSTALACION EN EL POWER PACK DEL EQUIPO COILED TUBING"/>
  </r>
  <r>
    <m/>
    <m/>
    <d v="2022-11-10T00:00:00"/>
    <m/>
    <m/>
    <m/>
    <x v="0"/>
    <s v="UNIDAD DE BOMBEO"/>
    <m/>
    <x v="3"/>
    <s v="FUGA DE REFRIGERANTE, EN SELLO DE LA BOMBA DE REFRIGERANTE"/>
    <s v="ENVIO DE BOMBA A TALLER EXTERNO &quot;MULTIBOMBAS EL TIGRE C.A&quot;  POR GARANTIA"/>
    <s v="GP-CL-2022-004"/>
    <n v="0"/>
    <m/>
    <x v="64"/>
    <s v="N/A"/>
    <m/>
    <m/>
    <x v="1"/>
    <s v="UND"/>
    <x v="1"/>
    <s v="ENVIO DE COMPONENTE A PROVEEDOR EXTERNO PARA SERVICIO DE REPARACION POR GARANTIA, SEGÚN ORDEN DE SERVICIO GP-CL-2022-004"/>
  </r>
  <r>
    <m/>
    <m/>
    <d v="2022-11-14T00:00:00"/>
    <m/>
    <m/>
    <m/>
    <x v="2"/>
    <s v="TP-MT-017"/>
    <m/>
    <x v="2"/>
    <s v="PRESTAMO DE INSUMOS"/>
    <s v="PRESTAMO DE INSUMOS A DPTO. DE MTTO."/>
    <s v="N/A"/>
    <n v="0"/>
    <m/>
    <x v="65"/>
    <s v="N/A"/>
    <m/>
    <m/>
    <x v="12"/>
    <s v="LTS"/>
    <x v="1"/>
    <s v="ENVIO DE LUBRICANTE PARA COMPLETACION DE NIVELES EN MONTACARGA ASOCIADO AL CAMPAMENTO DEL EQUIPO SAI-205 (MATERIAL PROVENIENTE DE RESGUARDO DE EQUIPO COILED TUBING)"/>
  </r>
  <r>
    <m/>
    <m/>
    <d v="2022-11-15T00:00:00"/>
    <m/>
    <m/>
    <m/>
    <x v="0"/>
    <s v="UNIDAD DE BOMBEO"/>
    <m/>
    <x v="3"/>
    <s v="FUGA DE REFRIGERANTE, EN SELLO DE LA BOMBA DE REFRIGERANTE "/>
    <s v="INSTALACION DE BOMBA DE REFRIGERANTE PROVENIENTE DE PROVEEDOR EXTERNO &quot;MULTIBOMBAS EL TIGRE, C.A&quot; POR GARANTIA"/>
    <s v="GP-CL-2022-004"/>
    <n v="0"/>
    <m/>
    <x v="64"/>
    <s v="N/A"/>
    <m/>
    <m/>
    <x v="1"/>
    <s v="UND"/>
    <x v="1"/>
    <s v="ENTREGA DE MATERIAL PARA SER INSTALADO EN EQUIPO COILED TUBING (MATERIAL REGRESADO DE PROVEEDOR EXTERNO REPARADO POR GARANTIA)"/>
  </r>
  <r>
    <m/>
    <m/>
    <d v="2022-11-16T00:00:00"/>
    <m/>
    <m/>
    <m/>
    <x v="0"/>
    <s v="UNIDAD DE BOMBEO"/>
    <m/>
    <x v="3"/>
    <s v="FUGA DE REFRIGERANTE, EN SELLO DE LA BOMBA DE REFRIGERANTE "/>
    <s v="ENVIO DE BOMBA A TALLER EXTERNO &quot;MULTIBOMBAS EL TIGRE C.A&quot;  POR GARANTIA"/>
    <s v="GP-CL-2022-004"/>
    <n v="0"/>
    <m/>
    <x v="64"/>
    <s v="N/A"/>
    <m/>
    <m/>
    <x v="1"/>
    <s v="UND"/>
    <x v="1"/>
    <s v="ENVIO DE MATERIAL A PROVEEDOR EXTERNO PARA SERVICIO DE REPARACION POR GARANTIA"/>
  </r>
  <r>
    <m/>
    <m/>
    <d v="2022-11-16T00:00:00"/>
    <m/>
    <m/>
    <m/>
    <x v="0"/>
    <s v="CT"/>
    <m/>
    <x v="0"/>
    <s v="HIGIENE Y SEGURIDAD"/>
    <s v="LIMPIEZA DE EQUIPO Y VALVULAS "/>
    <s v="N/A"/>
    <n v="0"/>
    <m/>
    <x v="66"/>
    <s v="N/A"/>
    <m/>
    <m/>
    <x v="18"/>
    <s v="KG"/>
    <x v="0"/>
    <s v="ENTREGA DE CONSUMIBLES PARA USO EN ACTIVIDADES DEL EQUIPO COILED TUBING UBICADO EN BASE SAI"/>
  </r>
  <r>
    <m/>
    <m/>
    <d v="2022-11-16T00:00:00"/>
    <m/>
    <m/>
    <m/>
    <x v="0"/>
    <s v="CT"/>
    <m/>
    <x v="4"/>
    <s v="MEJORA A SEGURIDAD EN CAJAS DE HERRAMIENTAS"/>
    <s v="INSTALACION EN CONTAINER DE HERRAMIENTAS DEL DPTO."/>
    <s v="N/A"/>
    <n v="0"/>
    <m/>
    <x v="67"/>
    <s v="N/A"/>
    <s v="CISA"/>
    <m/>
    <x v="1"/>
    <s v="UND"/>
    <x v="0"/>
    <s v="ENTREGA DE CONSUMIBLES PARA USO EN ACTIVIDADES DEL EQUIPO COILED TUBING UBICADO EN BASE SAI"/>
  </r>
  <r>
    <m/>
    <m/>
    <d v="2022-11-17T00:00:00"/>
    <m/>
    <m/>
    <m/>
    <x v="0"/>
    <s v="CT"/>
    <m/>
    <x v="1"/>
    <s v="PREVENCION ANTE FUTURAS FALLAS"/>
    <s v="CAMBIO DE ACEITE A GEARBOXES DEL REEL"/>
    <s v="N/A"/>
    <n v="0"/>
    <m/>
    <x v="68"/>
    <s v="N/A"/>
    <m/>
    <m/>
    <x v="0"/>
    <s v="LTS"/>
    <x v="0"/>
    <s v="ENTREGA DE LUBRICANTES PARA COMPLETACION EN CAJA TRANSFER DE LA UNIDAD INYECTORA DEL EQUIPO COILED TUBING UBICADO EN BASE SAI"/>
  </r>
  <r>
    <m/>
    <m/>
    <d v="2022-11-17T00:00:00"/>
    <m/>
    <m/>
    <m/>
    <x v="0"/>
    <s v="UNIDAD DE BOMBEO"/>
    <m/>
    <x v="4"/>
    <s v="BAJO NIVEL DE ACEITE EN CAJA ALLISON DE MOTOR &quot;A&quot; Y &quot;B&quot; "/>
    <s v="COMPLETACION DE NIVEL EN CAJAS ALLISON DE MOTOR &quot;A&quot; Y &quot;B&quot;"/>
    <s v="N/A"/>
    <n v="0"/>
    <m/>
    <x v="69"/>
    <s v="N/A"/>
    <m/>
    <m/>
    <x v="19"/>
    <s v="LTS"/>
    <x v="0"/>
    <s v="ENTREGA DE LUBRICANTES PARA COMPLETACION EN CAJA ALLISON DE LA UNIDAD INYECTORA DEL EQUIPO COILED TUBING UBICADO EN BASE SAI"/>
  </r>
  <r>
    <m/>
    <m/>
    <d v="2022-11-17T00:00:00"/>
    <m/>
    <m/>
    <m/>
    <x v="0"/>
    <s v="CT"/>
    <m/>
    <x v="0"/>
    <s v="LIMPIEZA Y ADECUACIONES DE COMPONENTES"/>
    <s v="RUTINAS DE LIMPIEZA Y ADECUACIONES A COMPONENTES Y EQUIPOS ASOCIADOS"/>
    <s v="N/A"/>
    <n v="0"/>
    <m/>
    <x v="58"/>
    <s v="N/A"/>
    <m/>
    <m/>
    <x v="1"/>
    <s v="UND"/>
    <x v="0"/>
    <s v="ENTREGA DE CONSUMIBLE REQUERIDO PARA ADECUACIONES EN EQUIPO COILED TUBING UBICADO EN BASE SAI"/>
  </r>
  <r>
    <m/>
    <m/>
    <d v="2022-11-18T00:00:00"/>
    <m/>
    <m/>
    <m/>
    <x v="0"/>
    <s v="CT"/>
    <m/>
    <x v="4"/>
    <s v="MEJORA A SEGURIDAD EN CAJAS DE HERRAMIENTAS"/>
    <s v="INSTALACION EN CONTAINER DE HERRAMIENTAS DEL DPTO."/>
    <s v="N/A"/>
    <n v="0"/>
    <m/>
    <x v="70"/>
    <s v="H131003010"/>
    <m/>
    <m/>
    <x v="4"/>
    <s v="UND"/>
    <x v="0"/>
    <s v="ENTREGA DE MATERIAL PARA FABRICACION DE CAJA DE HERRAMIENTA ASOCIADO AL EQUIPO COILED TUBING UBICADO EN BASE SAI"/>
  </r>
  <r>
    <m/>
    <m/>
    <d v="2022-11-18T00:00:00"/>
    <m/>
    <m/>
    <m/>
    <x v="0"/>
    <s v="UNIDAD DE BOMBEO"/>
    <m/>
    <x v="4"/>
    <s v="BAJO NIVEL DE ACEITE EN CAJA ALLISON DE MOTOR &quot;A&quot; Y &quot;B&quot; "/>
    <s v="COMPLETACION DE NIVEL EN CAJAS ALLISON DE MOTOR &quot;A&quot; Y &quot;B&quot;"/>
    <s v="N/A"/>
    <n v="0"/>
    <m/>
    <x v="69"/>
    <s v="N/A"/>
    <m/>
    <m/>
    <x v="10"/>
    <s v="LTS"/>
    <x v="0"/>
    <s v="ENTREGA DE CONSUMIBLE PARA COMPLETACION DE NIVEL EN CAJA ALLISON ASOCIADA AL EQUIPO COILED TUBING UBICADO EN BASE SAI"/>
  </r>
  <r>
    <m/>
    <m/>
    <d v="2022-11-21T00:00:00"/>
    <m/>
    <m/>
    <m/>
    <x v="0"/>
    <s v="UNIDAD DE BOMBEO"/>
    <m/>
    <x v="3"/>
    <s v="FUGA DE REFRIGERANTE, EN SELLO DE LA BOMBA DE REFRIGERANTE "/>
    <s v="INSTALACION DE BOMBA DE REFRIGERANTE PROVENIENTE DE PROVEEDOR EXTERNO &quot;MULTIBOMBAS EL TIGRE, C.A&quot; POR GARANTIA"/>
    <s v="GP-CL-2022-004"/>
    <n v="0"/>
    <m/>
    <x v="64"/>
    <s v="N/A"/>
    <m/>
    <m/>
    <x v="1"/>
    <s v="UND"/>
    <x v="3"/>
    <s v="ENTREGA DE COMPONENTE PARA INSTALACION EN UNIDAD DE BOMBEO ASOCIADO AL EQUIPO COILED TUBING UBICADO EN BASE SAI"/>
  </r>
  <r>
    <m/>
    <m/>
    <d v="2022-11-22T00:00:00"/>
    <m/>
    <m/>
    <m/>
    <x v="0"/>
    <s v="UNIDAD DE BOMBEO"/>
    <m/>
    <x v="4"/>
    <s v="BAJO NIVEL DE ACEITE EN CAJA ALLISON DE MOTOR &quot;A&quot; Y &quot;B&quot; "/>
    <s v="COMPLETACION DE NIVEL EN CAJAS ALLISON DE MOTOR &quot;A&quot; Y &quot;B&quot;"/>
    <s v="N/A"/>
    <n v="0"/>
    <m/>
    <x v="69"/>
    <s v="N/A"/>
    <m/>
    <m/>
    <x v="19"/>
    <s v="LTS"/>
    <x v="0"/>
    <s v="ENTREGA DE CONSUMIBLE PARA COMPLETACION DE NIVEL EN CAJA DE VELOCIDAD DE LA UNIDAD DE BOMBEO ASOCIADA AL EQUIPO COILED TUBING UBICADA EN BASE SAI"/>
  </r>
  <r>
    <m/>
    <m/>
    <d v="2022-11-22T00:00:00"/>
    <m/>
    <m/>
    <m/>
    <x v="0"/>
    <s v="POWER PACK"/>
    <m/>
    <x v="4"/>
    <s v="ADECUACION ELECTRICA"/>
    <s v="INSTALACION DE PLUG Y RECEPTACULO PARA ALIMENTACION DE A/A DE POWER PACK Y REEL"/>
    <s v="N/A"/>
    <n v="0"/>
    <m/>
    <x v="71"/>
    <s v="PC13"/>
    <m/>
    <m/>
    <x v="1"/>
    <s v="KIT"/>
    <x v="0"/>
    <s v="ENTREGA DE MATERIAL PARA ADECUACIONES ELECTRICAS ASOCIADO AL EQUIPO COILED TUBING UBICADO EN BASE SAI"/>
  </r>
  <r>
    <m/>
    <m/>
    <d v="2022-11-22T00:00:00"/>
    <m/>
    <m/>
    <m/>
    <x v="0"/>
    <s v="UNIDAD DE BOMBEO"/>
    <m/>
    <x v="4"/>
    <s v="BAJO NIVEL DE ACEITE EN CAJA ALLISON DE MOTOR &quot;A&quot; Y &quot;B&quot; "/>
    <s v="COMPLETACION DE NIVEL EN CAJAS ALLISON DE MOTOR &quot;A&quot; Y &quot;B&quot;"/>
    <s v="N/A"/>
    <n v="0"/>
    <m/>
    <x v="69"/>
    <s v="N/A"/>
    <m/>
    <m/>
    <x v="0"/>
    <s v="LTS"/>
    <x v="0"/>
    <s v="ENTREGA DE CONSUMIBLE PARA COMPLETACION DE NIVEL EN CAJA DE VELOCODAD DE LA UNIDAD DE BOMBEO ASOCIADA AL EQUIPO COILED TUBING UBICADA EN BASE SAI"/>
  </r>
  <r>
    <m/>
    <m/>
    <d v="2022-11-23T00:00:00"/>
    <m/>
    <m/>
    <m/>
    <x v="0"/>
    <s v="INYECTOR"/>
    <m/>
    <x v="4"/>
    <s v="ADECUACION VIENTOS DEL INYECTOR"/>
    <s v="INSTALACION GRAMPAS EN VIENTOS DEL INYECTOR"/>
    <s v="N/A"/>
    <n v="0"/>
    <m/>
    <x v="72"/>
    <s v="1010211"/>
    <m/>
    <m/>
    <x v="4"/>
    <s v="UND"/>
    <x v="0"/>
    <s v="ENTREGA DE MATERIAL PARA INSTALACION DE VIENTOS EN EL EQUIPO COILED TUBING UBICADO EN BASE SAI"/>
  </r>
  <r>
    <m/>
    <m/>
    <d v="2022-11-23T00:00:00"/>
    <m/>
    <m/>
    <m/>
    <x v="0"/>
    <s v="POWER PACK"/>
    <m/>
    <x v="4"/>
    <s v="INEFICIENTE METODO DE IDENTIFICACION DE LINEAS HIDRAULICAS DE BACK-UP"/>
    <s v="IDENTIFICACION DE LINEAS HIDRAULICAS DE BACK-UP"/>
    <s v="N/A"/>
    <n v="0"/>
    <m/>
    <x v="73"/>
    <s v="503004277829000"/>
    <m/>
    <m/>
    <x v="20"/>
    <s v="UND"/>
    <x v="0"/>
    <s v="ENTREGA DE MATERIAL PARA IDENTIFICACION DE MANGUERAS EN EL EQUIPO COILED TUBING UBICADO EN BASE SAI"/>
  </r>
  <r>
    <m/>
    <m/>
    <d v="2022-11-23T00:00:00"/>
    <m/>
    <m/>
    <m/>
    <x v="0"/>
    <s v="UNIDAD DE BOMBEO"/>
    <m/>
    <x v="3"/>
    <s v="BAJO NIVEL DE REFRIGERANTE DE MOTOR &quot;B&quot; POR CONSTANTE MONTAJE Y DESMONTAJE DE BOMBA DE REFRIGERANTE"/>
    <s v="COMPLETACION DE NIVEL DE REFRIGERANTE EN MOTOR &quot;B&quot;"/>
    <s v="N/A"/>
    <n v="0"/>
    <m/>
    <x v="18"/>
    <s v="N/A"/>
    <m/>
    <m/>
    <x v="18"/>
    <s v="LTS"/>
    <x v="0"/>
    <s v="ENTREGA DE CONSUMIBLE PARA COMPLETACION DE NIVEL EN MOTOR DE BOMBA ASOCIADO AL EQUIPO COILED TUBING UBICADO EN BASE SAI"/>
  </r>
  <r>
    <m/>
    <m/>
    <d v="2022-11-25T00:00:00"/>
    <m/>
    <m/>
    <m/>
    <x v="0"/>
    <s v="TANQUE DE COMBUSTIBLE"/>
    <m/>
    <x v="4"/>
    <s v="RESTAURACION Y REPARACION EN BASE TEPECA"/>
    <s v="ENVIO DE COMPONENTE PARA ADECUACION DE TAQUE POR PARTE DE PERSONAL DE FABRICACION EN BASE TEPECA"/>
    <s v="N/A"/>
    <n v="0"/>
    <m/>
    <x v="74"/>
    <s v="N/A"/>
    <m/>
    <m/>
    <x v="1"/>
    <s v="UND"/>
    <x v="0"/>
    <s v="ENVIO DE EQUIPO RETIRADO DE AREA EXTERNA BASE SAI PARA REPARACION Y ADECUACIONES EN BASE TEPECA (EQUIPO ASIGNADO A UNIDAD COILED TUBING)"/>
  </r>
  <r>
    <m/>
    <m/>
    <d v="2022-11-25T00:00:00"/>
    <m/>
    <m/>
    <m/>
    <x v="0"/>
    <s v="TANQUE DE COMBUSTIBLE"/>
    <m/>
    <x v="4"/>
    <s v="RESTAURACION Y REPARACION EN BASE TEPECA"/>
    <s v="ENVIO DE COMPONENTE PARA ADECUACION DE TAQUE POR PARTE DE PERSONAL DE FABRICACION EN BASE TEPECA"/>
    <s v="N/A"/>
    <n v="0"/>
    <m/>
    <x v="75"/>
    <s v="N/A"/>
    <m/>
    <m/>
    <x v="1"/>
    <s v="UND"/>
    <x v="0"/>
    <s v="ENVIO DE MATERIAL RETIRADO DE AREA EXTERNA BASE SAI PARA REPARACION Y ADECUACIONES EN BASE TEPECA (EQUIPO ASIGNADO A UNIDAD COILED TUBING)"/>
  </r>
  <r>
    <m/>
    <m/>
    <d v="2022-11-25T00:00:00"/>
    <m/>
    <m/>
    <m/>
    <x v="0"/>
    <s v="TANQUE DE COMBUSTIBLE"/>
    <m/>
    <x v="4"/>
    <s v="RESTAURACION Y REPARACION EN BASE TEPECA"/>
    <s v="ENVIO DE COMPONENTE PARA FABRICACION DE HERRAMIENTAS DE ARMADO DE EQUIPOS DE SUPERFICIE"/>
    <s v="N/A"/>
    <n v="0"/>
    <m/>
    <x v="76"/>
    <s v="N/A"/>
    <m/>
    <m/>
    <x v="4"/>
    <s v="UND"/>
    <x v="0"/>
    <s v="ENVIO DE MATERIAL RETIRADO DE AREA EXTERNA BASE SAI PARA REPARACION Y ADECUACIONES EN BASE TEPECA (EQUIPO ASIGNADO A UNIDAD COILED TUBING)"/>
  </r>
  <r>
    <m/>
    <m/>
    <d v="2022-11-25T00:00:00"/>
    <m/>
    <m/>
    <m/>
    <x v="0"/>
    <s v="TANQUE DE ALMACENAMIENTO"/>
    <m/>
    <x v="4"/>
    <s v="RESTAURACION Y REPARACION EN BASE TEPECA"/>
    <s v="INSTALACION DE TAPON EN TRANQUE DE ALMACENAMIENTO"/>
    <s v="N/A"/>
    <n v="0"/>
    <m/>
    <x v="77"/>
    <s v="N/A"/>
    <m/>
    <m/>
    <x v="1"/>
    <s v="UND"/>
    <x v="0"/>
    <s v="ENVIO DE MATERIAL PARA ADECUACIONES EN TANQUE (EQUIPO ASIGNADO A UNIDAD COILED TUBING)"/>
  </r>
  <r>
    <m/>
    <m/>
    <d v="2022-11-28T00:00:00"/>
    <m/>
    <m/>
    <m/>
    <x v="0"/>
    <s v="UNIDAD DE BOMBEO"/>
    <m/>
    <x v="3"/>
    <s v="FUGA DE REFRIGERANTE, EN SELLO DE LA BOMBA DE REFRIGERANTE"/>
    <s v="ENVIO DE BOMBA A TALLER EXTERNO &quot;MULTIBOMBAS EL TIGRE C.A&quot;  POR GARANTIA"/>
    <s v="GP-CL-2022-004"/>
    <n v="0"/>
    <m/>
    <x v="64"/>
    <s v="N/A"/>
    <s v="BRIDGESTONE "/>
    <m/>
    <x v="1"/>
    <s v="UND"/>
    <x v="3"/>
    <s v="ENVIO DE MATERIAL A PROVEEDOR EXTERNO PARA SERVICIO DE REPARACION POR GARANTIA"/>
  </r>
  <r>
    <m/>
    <m/>
    <d v="2022-12-02T00:00:00"/>
    <m/>
    <m/>
    <m/>
    <x v="0"/>
    <s v="TANQUE DE SUMINISTRO"/>
    <m/>
    <x v="4"/>
    <s v="RESTAURACION Y REPARACION EN BASE TEPECA"/>
    <s v="INSTALACION EN MANIFOLD DEL TANQUE DE SUMINISTRO DEL EQUIPO CT"/>
    <s v="N/A"/>
    <n v="0"/>
    <m/>
    <x v="78"/>
    <n v="601408305"/>
    <m/>
    <m/>
    <x v="19"/>
    <s v="UND"/>
    <x v="0"/>
    <s v="ENVIO DE MATERIAL PARA FABRICACION DE MANIFOLD DEL TANQUE DE SUMINISTRO ASOCIADO A LA UNIDAD COILED TUBING"/>
  </r>
  <r>
    <m/>
    <m/>
    <d v="2022-12-02T00:00:00"/>
    <m/>
    <m/>
    <m/>
    <x v="0"/>
    <s v="TANQUE DE SUMINISTRO"/>
    <m/>
    <x v="4"/>
    <s v="RESTAURACION Y REPARACION EN BASE TEPECA"/>
    <s v="INSTALACION EN MANIFOLD DEL TANQUE DE SUMINISTRO DEL EQUIPO CT"/>
    <s v="N/A"/>
    <n v="0"/>
    <m/>
    <x v="78"/>
    <s v="601408305"/>
    <m/>
    <m/>
    <x v="12"/>
    <s v="UND"/>
    <x v="0"/>
    <s v="ENVIO DE MATERIAL PARA FABRICACION DE MANIFOLD DEL TANQUE DE SUMINISTRO  ASOCIADO A LA UNIDAD COILED TUBING"/>
  </r>
  <r>
    <m/>
    <m/>
    <d v="2022-12-02T00:00:00"/>
    <m/>
    <m/>
    <m/>
    <x v="0"/>
    <s v="UNIDAD DE BOMBEO"/>
    <m/>
    <x v="3"/>
    <s v="FUGA DE REFRIGERANTE, EN SELLO DE LA BOMBA DE REFRIGERANTE "/>
    <s v="INSTALACION DE BOMBA DE REFRIGERANTE PROVENIENTE DE PROVEEDOR EXTERNO &quot;MULTIBOMBAS EL TIGRE, C.A&quot; POR GARANTIA"/>
    <s v="GP-CL-2022-004"/>
    <n v="0"/>
    <m/>
    <x v="64"/>
    <s v="N/A"/>
    <m/>
    <m/>
    <x v="1"/>
    <s v="UND"/>
    <x v="3"/>
    <s v="ENTREGA DE MATERIAL PARA INSTALACION EN EQUIPO COILED TUBING UBICADO EN BASE SAI"/>
  </r>
  <r>
    <m/>
    <m/>
    <d v="2022-12-02T00:00:00"/>
    <m/>
    <m/>
    <m/>
    <x v="0"/>
    <s v="GENERADOR 10KVA"/>
    <m/>
    <x v="3"/>
    <s v="DINAMO DAÑADO"/>
    <s v="INSTALACION Y PRUEBA DE DINAMO EN GENERADOR DE 10KVA "/>
    <s v="N/A"/>
    <n v="0"/>
    <m/>
    <x v="79"/>
    <s v="N/A"/>
    <m/>
    <m/>
    <x v="1"/>
    <s v="UND"/>
    <x v="0"/>
    <s v="ENTREGA DE MATERIAL PARA INSTALACION EN PLANTA ELECTRICA ASOCIADO AL EQUIPO COILED TUBING UBICADO EN BASE SAI"/>
  </r>
  <r>
    <m/>
    <m/>
    <d v="2022-12-05T00:00:00"/>
    <m/>
    <m/>
    <m/>
    <x v="0"/>
    <s v="TANQUE DE COMBUSTIBLE"/>
    <m/>
    <x v="4"/>
    <s v="ADECUACION Y REPARACION DE SISTEMA DE COMBUSTIBLE DEL CAMPAMENTO"/>
    <s v="INSTALACION DE BOMBA DE DIAFRAGMA EN TANQUE DE COMBUSTIBLE DEL CAMPAMENTOS"/>
    <s v="N/A"/>
    <n v="0"/>
    <m/>
    <x v="80"/>
    <s v="N/A"/>
    <m/>
    <m/>
    <x v="1"/>
    <s v="UND"/>
    <x v="0"/>
    <s v="ENVIO DE COMPONENTE A BASE TEPECA EN CALIDAD DE PRESTAMO A DPTO. FABRICACION PARA TOMA DE MEDIDAS"/>
  </r>
  <r>
    <m/>
    <m/>
    <d v="2022-12-06T00:00:00"/>
    <m/>
    <m/>
    <m/>
    <x v="0"/>
    <s v="CT"/>
    <m/>
    <x v="0"/>
    <s v="HIGIENE Y SEGURIDAD"/>
    <s v="LIMPIEZA DE EQUIPOS Y DESARROLLO DE FABRICACIONES"/>
    <s v="N/A"/>
    <n v="0"/>
    <m/>
    <x v="0"/>
    <s v="N/A"/>
    <m/>
    <m/>
    <x v="4"/>
    <s v="KG"/>
    <x v="0"/>
    <s v="TRASLADO DE CONSUMIBLES A BASE TEPECA EN CALIDAD DE PRESTAMO A PERSONAL DE FABRICACION (TOMADO DE ASIGNACION A EQUIPO COILED TUBING)"/>
  </r>
  <r>
    <m/>
    <m/>
    <d v="2022-12-07T00:00:00"/>
    <m/>
    <m/>
    <m/>
    <x v="4"/>
    <s v="TP-554"/>
    <m/>
    <x v="2"/>
    <s v="PRESTAMO DE INSUMOS"/>
    <s v="PRESTAMOS DE INSUMOS A PERSONAL DE MTTO."/>
    <s v="N/A"/>
    <n v="0"/>
    <m/>
    <x v="38"/>
    <s v="N/A"/>
    <m/>
    <m/>
    <x v="21"/>
    <s v="LTS"/>
    <x v="1"/>
    <s v="ENVIO DE LUBRICANTE PARA SER UTILIZADO EN COMPLETACION DE NIVEL DEL TANQUE HIDRAULICO PRINCIPAL DEL HOIST DEL EQUIPO TP-554  (TOMADO EN CALIDAD DE PRESTAMO DE RESGUARDO PERTENECIENTE AL EQUIPO COILED TUBING)"/>
  </r>
  <r>
    <m/>
    <m/>
    <d v="2022-12-09T00:00:00"/>
    <m/>
    <m/>
    <m/>
    <x v="0"/>
    <s v="TANQUE DE ALMACENAMIENTO"/>
    <m/>
    <x v="4"/>
    <s v="RESTAURACION Y REPARACION EN BASE TEPECA"/>
    <s v="FABRICACION DE EMPACADURAS EN TANQUES"/>
    <s v="N/A"/>
    <n v="0"/>
    <m/>
    <x v="81"/>
    <s v="PAPELEMP3/16"/>
    <m/>
    <m/>
    <x v="1"/>
    <s v="UND"/>
    <x v="0"/>
    <s v="ENVIO DE MATERIAL A BASE TEPECA (FABRICACION) PARA ELABORACION DE EMPACADURAS EN TAPAS DE TANQUE ASOCIADO AL EQUIPO COILED TUBING"/>
  </r>
  <r>
    <m/>
    <m/>
    <d v="2022-12-10T00:00:00"/>
    <m/>
    <m/>
    <m/>
    <x v="0"/>
    <s v="UNIDAD DE FILTRADO"/>
    <m/>
    <x v="4"/>
    <s v="ADECUACIONES DE COMPONENTE EN BASE SAI"/>
    <s v="INSTALACION DE FILTROS EN UNIDAD DE FILTRADO DEL CT"/>
    <s v="N/A"/>
    <n v="0"/>
    <m/>
    <x v="82"/>
    <s v="N/A"/>
    <m/>
    <m/>
    <x v="0"/>
    <s v="UND"/>
    <x v="0"/>
    <s v="ENTREGA DE MATERIAL PARA INSTALACION EN UNIDAD DE FILTRADO ASOCIADO AL EQUIPO COILED TUBING"/>
  </r>
  <r>
    <m/>
    <m/>
    <d v="2022-12-10T00:00:00"/>
    <m/>
    <m/>
    <m/>
    <x v="0"/>
    <s v="INYECTOR"/>
    <m/>
    <x v="4"/>
    <s v="REACONDICIONAMIENTO DE LINEA DE LUBRICACION DEL INYECTOR"/>
    <s v="INSTALACION DE LINEAS DE LUBRICACION DEL INYECTOR"/>
    <s v="N/A"/>
    <n v="0"/>
    <m/>
    <x v="83"/>
    <s v="7802296"/>
    <m/>
    <m/>
    <x v="4"/>
    <s v="UND"/>
    <x v="0"/>
    <s v="ENTREGA DE MATERIAL PARA INSTALACION EN MANGUERA DE LUBRICACION DE CADENA INYECTOR ASOCIADO AL EQUIPO COILED TUBING"/>
  </r>
  <r>
    <m/>
    <m/>
    <d v="2022-12-13T00:00:00"/>
    <m/>
    <m/>
    <m/>
    <x v="0"/>
    <s v="GENERADOR 10KVA"/>
    <m/>
    <x v="3"/>
    <s v="BAJO NIVEL DE ACEITE"/>
    <s v="COMPLETACION DE NIVEL DE ACEITE DE MOTOR DE GENERADOR DE 10KVA"/>
    <s v="N/A"/>
    <n v="0"/>
    <m/>
    <x v="24"/>
    <s v="N/A"/>
    <m/>
    <m/>
    <x v="4"/>
    <s v="LTS"/>
    <x v="0"/>
    <s v="ENTERGA DE CONSUMIBLE PARA COMPLETACION DE NIVEL EN PLANTA ELECTRICA ASOCIADA AL EQUIPO COILED TUBING"/>
  </r>
  <r>
    <m/>
    <m/>
    <d v="2022-12-13T00:00:00"/>
    <m/>
    <m/>
    <m/>
    <x v="0"/>
    <s v="POWER PACK"/>
    <m/>
    <x v="4"/>
    <s v="INDICADOR DE PRESION HIDRAULICA EXTERIOR DAÑADO"/>
    <s v="REEMPLAZO DE MANOMETRO EXTERNO"/>
    <s v="N/A"/>
    <n v="0"/>
    <m/>
    <x v="61"/>
    <s v="N/A"/>
    <s v="BAUMER"/>
    <m/>
    <x v="1"/>
    <s v="UND"/>
    <x v="0"/>
    <s v="ENTREGA DE MATERIAL PARA INSTALACION  EN PANEL DE CONTROL ASOCIADO AL EQUIPO COILED TUBING"/>
  </r>
  <r>
    <m/>
    <m/>
    <d v="2022-12-14T00:00:00"/>
    <m/>
    <m/>
    <m/>
    <x v="3"/>
    <s v="SAI-215"/>
    <m/>
    <x v="2"/>
    <s v="PRESTAMO DE INSUMOS"/>
    <s v="PRESTAMO DE INSUMOS A DPTO. DE MTTO."/>
    <s v="N/A"/>
    <n v="0"/>
    <m/>
    <x v="38"/>
    <s v="N/A"/>
    <m/>
    <m/>
    <x v="22"/>
    <s v="LTS"/>
    <x v="1"/>
    <s v="ENVIO DE CONSUMIBLE PARA COMPLETACION DE NIVEL EN HOIST ASOCIADO AL EQUIPO SAI-215 (MATERIAL TOMADO EN CALIDAD DE PRESTAMO DEL EQUIPO COILED TUBING, AUTORIZADO POR SR CARLOS MENDOZA) MATERIAL DESPACHADO EL DIA 14/12/22 POR ESPERA DE VEHICULO"/>
  </r>
  <r>
    <m/>
    <m/>
    <d v="2022-12-14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84"/>
    <s v="7300379"/>
    <m/>
    <m/>
    <x v="3"/>
    <s v="UND"/>
    <x v="0"/>
    <s v="ENVIO DE MATERIAL PARA INSTALACION EN BOMBA DE TRANSFERENCIA ASOCIADA AL EQUIPO COILED TUBING (MATERIAL SERA RECIBIDO POR PERSONAL DE FABRICACION BASE TEPECA)"/>
  </r>
  <r>
    <m/>
    <m/>
    <d v="2022-12-14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85"/>
    <s v="N/A"/>
    <m/>
    <m/>
    <x v="1"/>
    <s v="UND"/>
    <x v="0"/>
    <s v="ENVIO DE MATERIAL PARA INSTALACION EN BOMBA DE TRANSFERENCIA ASOCIADA AL EQUIPO COILED TUBING (MATERIAL SERA RECIBIDO POR PERSONAL DE FABRICACION BASE TEPECA)"/>
  </r>
  <r>
    <m/>
    <m/>
    <d v="2022-12-14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86"/>
    <s v="N/A"/>
    <m/>
    <m/>
    <x v="0"/>
    <s v="UND"/>
    <x v="0"/>
    <s v="ENVIO DE MATERIAL PARA INSTALACION EN BOMBA DE TRANSFERENCIA ASOCIADA AL EQUIPO COILED TUBING (MATERIAL SERA RECIBIDO POR PERSONAL DE FABRICACION BASE TEPECA)"/>
  </r>
  <r>
    <m/>
    <m/>
    <d v="2022-12-16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87"/>
    <s v="N/A"/>
    <m/>
    <m/>
    <x v="4"/>
    <s v="MTS"/>
    <x v="0"/>
    <s v="ENVIO DE MATERIAL PARA INSTALACION EN TANQUE DE SUMINISTRO DE COMBUSTIBLE DEL CAMPAMENTO ASOCIADO AL EQUIPO COILED TUBING"/>
  </r>
  <r>
    <m/>
    <m/>
    <d v="2022-12-16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88"/>
    <s v="N/A"/>
    <m/>
    <m/>
    <x v="0"/>
    <s v="UND"/>
    <x v="0"/>
    <s v="ENVIO DE MATERIAL PARA INSTALACION EN TANQUE DE SUMINISTRO DE COMBUSTIBLE DEL CAMPAMENTO ASOCIADO AL EQUIPO COILED TUBING"/>
  </r>
  <r>
    <m/>
    <m/>
    <d v="2022-12-16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89"/>
    <s v="N/A"/>
    <m/>
    <m/>
    <x v="4"/>
    <s v="UND"/>
    <x v="1"/>
    <s v="ENVIO DE MATERIAL PARA INSTALACION EN TANQUE DE SUMINISTRO DE COMBUSTIBLE DEL CAMPAMENTO ASOCIADO AL EQUIPO COILED TUBING"/>
  </r>
  <r>
    <m/>
    <m/>
    <d v="2022-12-16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90"/>
    <s v="N/A"/>
    <m/>
    <m/>
    <x v="1"/>
    <s v="UND"/>
    <x v="1"/>
    <s v="ENVIO DE MATERIAL PARA INSTALACION EN TANQUE DE SUMINISTRO DE COMBUSTIBLE DEL CAMPAMENTO ASOCIADO AL EQUIPO COILED TUBING"/>
  </r>
  <r>
    <m/>
    <m/>
    <d v="2022-12-16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91"/>
    <s v="N/A"/>
    <m/>
    <m/>
    <x v="1"/>
    <s v="UND"/>
    <x v="1"/>
    <s v="ENVIO DE MATERIAL PARA INSTALACION EN TANQUE DE SUMINISTRO DE COMBUSTIBLE DEL CAMPAMENTO ASOCIADO AL EQUIPO COILED TUBING"/>
  </r>
  <r>
    <m/>
    <m/>
    <d v="2022-12-16T00:00:00"/>
    <m/>
    <m/>
    <m/>
    <x v="0"/>
    <s v="TANQUE DE COMBUSTIBLE"/>
    <m/>
    <x v="4"/>
    <s v="ADECUACIONES E INSTALACIONES EN BASE TEPECA"/>
    <s v="INSTALACION DE BOMBA DE DIAFRAGMA EN TANQUE DE COMBUSTIBLE DEL CAMPAMENTOS"/>
    <s v="N/A"/>
    <n v="0"/>
    <m/>
    <x v="92"/>
    <s v="N/A"/>
    <m/>
    <m/>
    <x v="1"/>
    <s v="UND"/>
    <x v="1"/>
    <s v="ENVIO DE MATERIAL PARA INSTALACION EN TANQUE DE SUMINISTRO DE COMBUSTIBLE DEL CAMPAMENTO ASOCIADO AL EQUIPO COILED TUBING"/>
  </r>
  <r>
    <m/>
    <m/>
    <d v="2022-12-19T00:00:00"/>
    <m/>
    <m/>
    <m/>
    <x v="8"/>
    <s v="MTTO"/>
    <m/>
    <x v="2"/>
    <s v="PRESTAMO DE INSUMOS"/>
    <s v="PRESTAMO DE INSUMOS A DPTO. DE MTTO."/>
    <s v="N/A"/>
    <n v="0"/>
    <m/>
    <x v="24"/>
    <s v="N/A"/>
    <m/>
    <m/>
    <x v="16"/>
    <s v="LTS"/>
    <x v="0"/>
    <s v="ENVIO DE CONSUMIBLE PARA ASIGNACION A DEPARTAMENTO MANTENIMIENTO LIVIANO BASE TEPECA (MATERIAL TOMADO EN CALIDAD DE PRESTAMO DEL EQUIPO COILED TUBING AUTORIZADO POR EL SR CARLOS MENDOZA)"/>
  </r>
  <r>
    <m/>
    <m/>
    <d v="2022-12-19T00:00:00"/>
    <m/>
    <m/>
    <m/>
    <x v="0"/>
    <s v="CT"/>
    <m/>
    <x v="4"/>
    <s v="MEJORA A SEGURIDAD EN CAJAS DE HERRAMIENTAS"/>
    <s v="INSTALACION DE KIT DE BLOQUEO EN CAJA DE HERRAMIENTAS DE CT"/>
    <s v="N/A"/>
    <n v="0"/>
    <m/>
    <x v="93"/>
    <s v="703001145049000"/>
    <m/>
    <m/>
    <x v="4"/>
    <s v="UND"/>
    <x v="0"/>
    <s v="ENTREGA DE MATERIAL PARA INSTALACION EN CAJA DE HERRAMIENTA ASOCIADA AL EQUIPO COILED TUBING"/>
  </r>
  <r>
    <m/>
    <m/>
    <d v="2022-12-19T00:00:00"/>
    <m/>
    <m/>
    <m/>
    <x v="0"/>
    <s v="CT"/>
    <m/>
    <x v="0"/>
    <s v="HIGIENE Y SEGURIDAD"/>
    <s v="LIMPIEZA DE EQUIPOS Y COMPONENTES ASOCIADOS"/>
    <s v="N/A"/>
    <n v="0"/>
    <m/>
    <x v="0"/>
    <s v="N/A"/>
    <m/>
    <m/>
    <x v="1"/>
    <s v="KG"/>
    <x v="0"/>
    <s v="ENTREGA DE MATERIAL PARA MANTENIMIENTO EN EQUIPO COILED TUBING"/>
  </r>
  <r>
    <m/>
    <m/>
    <d v="2022-12-19T00:00:00"/>
    <m/>
    <m/>
    <m/>
    <x v="0"/>
    <s v="INYECTOR"/>
    <m/>
    <x v="1"/>
    <s v="PREVENCION ANTE FUTURAS FALLAS"/>
    <s v="CAMBIO DE ACEITE A GEARBOXES DEL INYECTOR"/>
    <s v="N/A"/>
    <n v="0"/>
    <m/>
    <x v="68"/>
    <s v="N/A"/>
    <s v="DAUER"/>
    <m/>
    <x v="23"/>
    <s v="LTS"/>
    <x v="0"/>
    <s v="ENTREGA DE CONSUMIBLE PARA CAMBIO DE ACEITE EN CAJA DE INYECTOR ASOCIADA AL EQUIPO COILED TUBING"/>
  </r>
  <r>
    <m/>
    <m/>
    <d v="2022-12-20T00:00:00"/>
    <m/>
    <m/>
    <m/>
    <x v="0"/>
    <s v="TANQUE DE COMBUSTIBLE"/>
    <m/>
    <x v="4"/>
    <s v="RESTAURACION Y REPARACION EN BASE TEPECA"/>
    <s v="ENVIO DE COMPONENTE PARA ADECUACION DE TAQUE POR PARTE DE PERSONAL DE FABRICACION EN BASE TEPECA"/>
    <s v="N/A"/>
    <n v="0"/>
    <m/>
    <x v="94"/>
    <s v="N4X8XXH"/>
    <m/>
    <m/>
    <x v="4"/>
    <s v="UND"/>
    <x v="0"/>
    <s v="ENVIO DE MATERIAL A BASE TEPECA PARA INSTALACION EN TANQUE DE GASOIL ASOCIADO AL EQUIPO COILED TUBING"/>
  </r>
  <r>
    <m/>
    <m/>
    <d v="2022-12-20T00:00:00"/>
    <m/>
    <m/>
    <m/>
    <x v="0"/>
    <s v="POWER PACK"/>
    <m/>
    <x v="4"/>
    <s v="INDICADOR DE PRESION HIDRAULICA DAÑADO"/>
    <s v="REEMPLAZO DE MANOMETRO"/>
    <s v="N/A"/>
    <n v="0"/>
    <m/>
    <x v="61"/>
    <s v="N/A"/>
    <s v="BAUMER"/>
    <m/>
    <x v="1"/>
    <s v="UND"/>
    <x v="0"/>
    <s v="ENTREGA DE MATERIAL PARA INSTALACION EN EL SISTEMA HIDRAULICO DEL POWER PACK ASOCIADO AL EQUIPO COILED TUBING"/>
  </r>
  <r>
    <m/>
    <m/>
    <d v="2022-12-20T00:00:00"/>
    <m/>
    <m/>
    <m/>
    <x v="0"/>
    <s v="CT"/>
    <m/>
    <x v="3"/>
    <s v="BAJO NIVEL DE ACEITE EN GEARBOXES DEL REEL"/>
    <s v="COMPLETACION DE NIVEL DE ACEITE EN GEARBOXES DEL REEL"/>
    <s v="N/A"/>
    <n v="0"/>
    <m/>
    <x v="68"/>
    <s v="N/A"/>
    <s v="DAUER"/>
    <m/>
    <x v="4"/>
    <s v="LTS"/>
    <x v="0"/>
    <s v="ENTREGA DE CONSUMIBLE PARA COMPLETACION DE NIVEL EN CAJA DE TRANSMISION DEL REEL ASOCIADO AL EQUIPO COIL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95"/>
    <s v="N/A"/>
    <s v="PROTO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96"/>
    <s v="N/A"/>
    <s v="STANLEY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97"/>
    <s v="N/A"/>
    <s v="STANLEY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98"/>
    <s v="N/A"/>
    <s v="PRETUL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99"/>
    <s v="N/A"/>
    <s v="BELLOTA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0"/>
    <s v="N/A"/>
    <s v="PROTO"/>
    <m/>
    <x v="1"/>
    <s v="JUEGO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1"/>
    <s v="N/A"/>
    <s v="TRUPER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2"/>
    <s v="N/A"/>
    <s v="STANLEY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3"/>
    <s v="N/A"/>
    <s v="HERROAGRO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4"/>
    <s v="N/A"/>
    <s v="TRUPER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5"/>
    <s v="N/A"/>
    <s v="LOBSTER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6"/>
    <s v="N/A"/>
    <s v="STANLEY"/>
    <m/>
    <x v="1"/>
    <s v="JUEGO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7"/>
    <s v="N/A"/>
    <s v="UNIFLEX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8"/>
    <s v="N/A"/>
    <s v="FC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09"/>
    <s v="N/A"/>
    <s v="STANLEY"/>
    <m/>
    <x v="1"/>
    <s v="JUEGO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0"/>
    <s v="N/A"/>
    <s v="STANLEY"/>
    <m/>
    <x v="1"/>
    <s v="JUEGO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1"/>
    <s v="N/A"/>
    <s v="STANLEY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2"/>
    <s v="N/A"/>
    <s v="TRUPER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3"/>
    <s v="N/A"/>
    <s v="RIDGID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4"/>
    <s v="N/A"/>
    <s v="RIDGID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5"/>
    <s v="N/A"/>
    <s v="RIDGID"/>
    <m/>
    <x v="1"/>
    <s v="UND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6"/>
    <s v="N/A"/>
    <s v="FLUKE"/>
    <m/>
    <x v="1"/>
    <s v="EQUIPO"/>
    <x v="0"/>
    <s v="ENTREGA DE HERRAMIENTAS PARA USO EN OPERACIONES DIARIAS ASOCIADAS AL EQUIPO COLIED TUBING"/>
  </r>
  <r>
    <m/>
    <m/>
    <d v="2022-12-21T00:00:00"/>
    <m/>
    <m/>
    <m/>
    <x v="0"/>
    <s v="CT"/>
    <m/>
    <x v="0"/>
    <s v="REQUISICION DE HERRAMIENTAS PARA DESARROLLO DE ACTIVIDADES"/>
    <s v="ENTREGA DE HERRAMIENTAS A PERSONAL DE CT"/>
    <s v="N/A"/>
    <n v="0"/>
    <m/>
    <x v="117"/>
    <s v="N/A"/>
    <m/>
    <m/>
    <x v="1"/>
    <s v="UND"/>
    <x v="0"/>
    <s v="ENTREGA DE HERRAMIENTA PARA OPERACIONES DIARIAS EN EL EQUIPO COILED TUBING"/>
  </r>
  <r>
    <m/>
    <m/>
    <d v="2022-12-21T00:00:00"/>
    <m/>
    <m/>
    <m/>
    <x v="0"/>
    <s v="CT"/>
    <m/>
    <x v="0"/>
    <s v="ENGRASE DE EQUIPOS Y COMPONENTES"/>
    <s v="ENGRASE DE EQUIPOS Y COMPONENTES SEGÚN RUTINA DE MTTO"/>
    <s v="N/A"/>
    <n v="0"/>
    <m/>
    <x v="118"/>
    <s v="N/A"/>
    <m/>
    <m/>
    <x v="12"/>
    <s v="KG"/>
    <x v="0"/>
    <s v="ENTREGA DE CONSUMIBLE PARA OPERACIONES DIARIAS EN EL EQUIPO COILED TUBING"/>
  </r>
  <r>
    <m/>
    <m/>
    <d v="2022-12-23T00:00:00"/>
    <m/>
    <m/>
    <m/>
    <x v="0"/>
    <s v="UNIDAD DE BOMBEO"/>
    <m/>
    <x v="0"/>
    <s v="BAJO NIVEL DE COMBUSTIBLE"/>
    <s v="COMPLETACION DE NIVEL DE COMBUSTIBLE EN BASE TEPECA"/>
    <s v="N/A"/>
    <n v="0"/>
    <m/>
    <x v="119"/>
    <s v="N/A"/>
    <s v="JERED"/>
    <s v="11150013"/>
    <x v="1"/>
    <s v="EQUIPO"/>
    <x v="1"/>
    <s v="ENVIO DE UNIDAD DE BOMBEO PARA RECARGA DE COMBUSTIBLE EN BASE TEPECA"/>
  </r>
  <r>
    <m/>
    <m/>
    <d v="2022-12-23T00:00:00"/>
    <m/>
    <m/>
    <m/>
    <x v="0"/>
    <s v="CASA DE FUERZA"/>
    <m/>
    <x v="4"/>
    <s v="ADECUACION Y RESTAURACION DE CASA DE FUERZA"/>
    <s v="REPARACION DE CASA DE FUERZA ASOCIADA AL CAMPAMENTO DE CT"/>
    <s v="N/A"/>
    <n v="0"/>
    <m/>
    <x v="120"/>
    <s v="N/A"/>
    <m/>
    <m/>
    <x v="1"/>
    <s v="KG"/>
    <x v="0"/>
    <s v="ENTREGA DE MATERIAL PARA REPARACION DE CAJA DE FUERZA ASOCIADO AL EQUIPO COILED TUBING"/>
  </r>
  <r>
    <m/>
    <m/>
    <d v="2022-12-28T00:00:00"/>
    <m/>
    <m/>
    <m/>
    <x v="9"/>
    <s v="TP-V-007"/>
    <m/>
    <x v="2"/>
    <s v="PRESTAMO DE INSUMOS"/>
    <s v="PRESTAMO DE INSUMOS A DPTO. DE MTTO."/>
    <s v="N/A"/>
    <n v="0"/>
    <m/>
    <x v="121"/>
    <s v="N/A"/>
    <s v="MIVHELLIN"/>
    <m/>
    <x v="18"/>
    <s v="UND"/>
    <x v="1"/>
    <s v="ENVIO DE MATERIAL PARA SERVICIO DE MONTURA EN PROVEEDOR EXTERNO SEGÚN ODS: MT-MP-2022-418, TOMADO DE MATERIAL BAJO RESGUARDO DE LA UNIDAD COILED TUBING AUTORIZADO POR EL SR CARLOS MENDOZA PARA REEMPLAZO EN UNIDAD TP-V-007"/>
  </r>
  <r>
    <m/>
    <m/>
    <d v="2022-12-29T00:00:00"/>
    <m/>
    <m/>
    <m/>
    <x v="0"/>
    <s v="CT"/>
    <m/>
    <x v="4"/>
    <s v="MEJORA A SEGURIDAD EN RESERVORIO DE LUBRICANTES"/>
    <s v="INSTALACION DE SISTEMA DE SEGURIDAD EN RESERVORIO DE LUBRICANTES"/>
    <s v="N/A"/>
    <n v="0"/>
    <m/>
    <x v="93"/>
    <s v="703001145049000"/>
    <m/>
    <m/>
    <x v="4"/>
    <s v="UND"/>
    <x v="0"/>
    <s v="ENTREGA DE MATERIAL PARA INSTALACION EN SISTEMA DE SEGURIDAD DE TANQUE HIDRAULICO ASOCIADA AL EQUIPO COILED TUBING"/>
  </r>
  <r>
    <m/>
    <m/>
    <d v="2022-12-29T00:00:00"/>
    <m/>
    <m/>
    <m/>
    <x v="0"/>
    <s v="UNIDAD DE BOMBEO"/>
    <m/>
    <x v="3"/>
    <s v="BAJO NIVEL DE ACEITE HIDRAULICO"/>
    <s v="COMPLETACION DE NIVEL DE ACEITE EN SISTEMA HIDRAULICO"/>
    <m/>
    <m/>
    <m/>
    <x v="29"/>
    <s v="N/A"/>
    <s v="SHELL"/>
    <m/>
    <x v="12"/>
    <s v="LTS"/>
    <x v="0"/>
    <s v="ENTREGA DE CONSUMIBLE PARA COMPLETACION DE NIVEL EN TANQUE HIDRAULICO ASOCIADO AL EQUIPO COILED TUB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13:B18" firstHeaderRow="1" firstDataRow="1" firstDataCol="1"/>
  <pivotFields count="23"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7">
        <item x="2"/>
        <item x="0"/>
        <item m="1" x="5"/>
        <item x="3"/>
        <item x="1"/>
        <item m="1" x="4"/>
        <item t="default"/>
      </items>
    </pivotField>
    <pivotField showAll="0"/>
  </pivotFields>
  <rowFields count="1">
    <field x="21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Cuenta de CAUSA O FALLA" fld="10" subtotal="count" baseField="0" baseItem="0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7" rowHeaderCaption="UNIDAD">
  <location ref="H6:I17" firstHeaderRow="1" firstDataRow="1" firstDataCol="1"/>
  <pivotFields count="23">
    <pivotField showAll="0"/>
    <pivotField showAll="0"/>
    <pivotField numFmtId="165" showAll="0"/>
    <pivotField showAll="0"/>
    <pivotField showAll="0"/>
    <pivotField showAll="0"/>
    <pivotField axis="axisRow" showAll="0">
      <items count="11">
        <item x="8"/>
        <item x="6"/>
        <item x="7"/>
        <item x="3"/>
        <item x="5"/>
        <item x="4"/>
        <item x="1"/>
        <item x="0"/>
        <item x="2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FRECUENCIA" fld="10" subtotal="count" baseField="0" baseItem="0"/>
  </dataFields>
  <chartFormats count="1"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 rowHeaderCaption="TIPO DE MTTO">
  <location ref="A3:B9" firstHeaderRow="1" firstDataRow="1" firstDataCol="1"/>
  <pivotFields count="23"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1"/>
        <item x="0"/>
        <item m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RECUENCIA" fld="10" subtotal="count" baseField="0" baseItem="0"/>
  </dataFields>
  <formats count="3">
    <format dxfId="11">
      <pivotArea field="9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</formats>
  <chartFormats count="6"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laDiná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0">
  <location ref="D7:E18" firstHeaderRow="1" firstDataRow="1" firstDataCol="1" rowPageCount="1" colPageCount="1"/>
  <pivotFields count="23"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3">
        <item x="38"/>
        <item x="24"/>
        <item x="65"/>
        <item x="68"/>
        <item x="55"/>
        <item x="69"/>
        <item x="29"/>
        <item x="90"/>
        <item x="89"/>
        <item x="112"/>
        <item x="98"/>
        <item x="102"/>
        <item x="101"/>
        <item x="73"/>
        <item x="111"/>
        <item x="56"/>
        <item x="76"/>
        <item x="75"/>
        <item x="10"/>
        <item x="14"/>
        <item x="64"/>
        <item x="80"/>
        <item x="13"/>
        <item x="12"/>
        <item x="92"/>
        <item x="95"/>
        <item x="67"/>
        <item x="19"/>
        <item x="54"/>
        <item x="121"/>
        <item x="108"/>
        <item x="31"/>
        <item x="58"/>
        <item x="107"/>
        <item x="91"/>
        <item x="83"/>
        <item x="71"/>
        <item x="47"/>
        <item x="88"/>
        <item x="39"/>
        <item x="27"/>
        <item x="28"/>
        <item x="62"/>
        <item x="16"/>
        <item x="51"/>
        <item x="79"/>
        <item x="120"/>
        <item x="42"/>
        <item x="78"/>
        <item x="3"/>
        <item x="44"/>
        <item x="20"/>
        <item x="9"/>
        <item x="46"/>
        <item x="45"/>
        <item x="30"/>
        <item x="25"/>
        <item x="26"/>
        <item x="22"/>
        <item x="21"/>
        <item x="82"/>
        <item x="23"/>
        <item x="2"/>
        <item x="59"/>
        <item x="17"/>
        <item x="72"/>
        <item x="52"/>
        <item x="118"/>
        <item x="117"/>
        <item x="50"/>
        <item x="100"/>
        <item x="106"/>
        <item x="110"/>
        <item x="109"/>
        <item x="93"/>
        <item x="43"/>
        <item x="105"/>
        <item x="97"/>
        <item x="96"/>
        <item x="115"/>
        <item x="114"/>
        <item x="113"/>
        <item x="104"/>
        <item x="103"/>
        <item x="87"/>
        <item x="37"/>
        <item x="61"/>
        <item x="99"/>
        <item x="116"/>
        <item x="94"/>
        <item x="36"/>
        <item x="41"/>
        <item x="6"/>
        <item x="5"/>
        <item x="40"/>
        <item x="1"/>
        <item x="53"/>
        <item x="81"/>
        <item x="63"/>
        <item x="48"/>
        <item x="60"/>
        <item x="18"/>
        <item x="15"/>
        <item x="74"/>
        <item x="8"/>
        <item x="11"/>
        <item x="7"/>
        <item x="77"/>
        <item x="84"/>
        <item x="85"/>
        <item x="70"/>
        <item x="0"/>
        <item x="66"/>
        <item x="32"/>
        <item x="33"/>
        <item x="34"/>
        <item x="35"/>
        <item x="86"/>
        <item x="4"/>
        <item x="57"/>
        <item x="49"/>
        <item x="119"/>
        <item t="default"/>
      </items>
    </pivotField>
    <pivotField showAll="0"/>
    <pivotField showAll="0"/>
    <pivotField showAll="0"/>
    <pivotField axis="axisPage" dataField="1" numFmtId="164" multipleItemSelectionAllowed="1" showAll="0">
      <items count="25">
        <item h="1" x="1"/>
        <item h="1" x="4"/>
        <item h="1" x="3"/>
        <item h="1" x="0"/>
        <item h="1" x="10"/>
        <item h="1" x="23"/>
        <item h="1" x="2"/>
        <item h="1" x="11"/>
        <item h="1" x="18"/>
        <item h="1" x="19"/>
        <item x="20"/>
        <item x="12"/>
        <item x="15"/>
        <item x="6"/>
        <item x="21"/>
        <item x="13"/>
        <item x="8"/>
        <item x="17"/>
        <item x="22"/>
        <item x="5"/>
        <item x="16"/>
        <item x="14"/>
        <item x="9"/>
        <item x="7"/>
        <item t="default"/>
      </items>
    </pivotField>
    <pivotField showAll="0"/>
    <pivotField showAll="0"/>
    <pivotField showAll="0"/>
  </pivotFields>
  <rowFields count="1">
    <field x="15"/>
  </rowFields>
  <rowItems count="11">
    <i>
      <x/>
    </i>
    <i>
      <x v="1"/>
    </i>
    <i>
      <x v="2"/>
    </i>
    <i>
      <x v="4"/>
    </i>
    <i>
      <x v="6"/>
    </i>
    <i>
      <x v="13"/>
    </i>
    <i>
      <x v="48"/>
    </i>
    <i>
      <x v="67"/>
    </i>
    <i>
      <x v="101"/>
    </i>
    <i>
      <x v="119"/>
    </i>
    <i t="grand">
      <x/>
    </i>
  </rowItems>
  <colItems count="1">
    <i/>
  </colItems>
  <pageFields count="1">
    <pageField fld="19" hier="-1"/>
  </pageFields>
  <dataFields count="1">
    <dataField name="Suma de CANT" fld="19" baseField="0" baseItem="0"/>
  </dataFields>
  <chartFormats count="3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5:G237" totalsRowShown="0" headerRowDxfId="8" dataDxfId="6" headerRowBorderDxfId="7">
  <autoFilter ref="B5:G237" xr:uid="{00000000-0009-0000-0100-000001000000}"/>
  <tableColumns count="6">
    <tableColumn id="1" xr3:uid="{00000000-0010-0000-0000-000001000000}" name="P/N" dataDxfId="5"/>
    <tableColumn id="2" xr3:uid="{00000000-0010-0000-0000-000002000000}" name="Ubicación" dataDxfId="4"/>
    <tableColumn id="3" xr3:uid="{00000000-0010-0000-0000-000003000000}" name="Descripcion" dataDxfId="3"/>
    <tableColumn id="4" xr3:uid="{00000000-0010-0000-0000-000004000000}" name="UM" dataDxfId="2"/>
    <tableColumn id="5" xr3:uid="{00000000-0010-0000-0000-000005000000}" name="Cantidad" dataDxfId="1"/>
    <tableColumn id="6" xr3:uid="{00000000-0010-0000-0000-000006000000}" name="Observacion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5" Type="http://schemas.openxmlformats.org/officeDocument/2006/relationships/drawing" Target="../drawings/drawing3.xml" /><Relationship Id="rId4" Type="http://schemas.openxmlformats.org/officeDocument/2006/relationships/pivotTable" Target="../pivotTables/pivotTable4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139"/>
  <sheetViews>
    <sheetView zoomScale="50" zoomScaleNormal="50" workbookViewId="0">
      <selection activeCell="K13" sqref="K13"/>
    </sheetView>
  </sheetViews>
  <sheetFormatPr defaultColWidth="10.76171875" defaultRowHeight="15" x14ac:dyDescent="0.2"/>
  <cols>
    <col min="1" max="1" width="2.015625" bestFit="1" customWidth="1"/>
    <col min="2" max="2" width="5.91796875" bestFit="1" customWidth="1"/>
    <col min="3" max="3" width="4.9765625" bestFit="1" customWidth="1"/>
    <col min="4" max="4" width="6.72265625" customWidth="1"/>
    <col min="5" max="5" width="11.02734375" customWidth="1"/>
    <col min="6" max="6" width="8.609375" customWidth="1"/>
    <col min="7" max="7" width="9.81640625" style="8" bestFit="1" customWidth="1"/>
    <col min="8" max="8" width="6.72265625" bestFit="1" customWidth="1"/>
    <col min="9" max="9" width="7.53125" bestFit="1" customWidth="1"/>
    <col min="10" max="10" width="11.296875" customWidth="1"/>
    <col min="11" max="11" width="16.41015625" style="1" customWidth="1"/>
    <col min="12" max="12" width="128.19921875" customWidth="1"/>
    <col min="13" max="13" width="9.01171875" customWidth="1"/>
    <col min="14" max="14" width="13.85546875" customWidth="1"/>
    <col min="15" max="15" width="13.1796875" customWidth="1"/>
    <col min="16" max="16" width="11.43359375" customWidth="1"/>
    <col min="17" max="17" width="11.56640625" style="7" customWidth="1"/>
    <col min="18" max="18" width="4.4375" bestFit="1" customWidth="1"/>
    <col min="19" max="19" width="11.97265625" bestFit="1" customWidth="1"/>
    <col min="20" max="20" width="14.9296875" bestFit="1" customWidth="1"/>
    <col min="21" max="21" width="10.625" bestFit="1" customWidth="1"/>
  </cols>
  <sheetData>
    <row r="2" spans="2:25" ht="15" customHeight="1" x14ac:dyDescent="0.2">
      <c r="B2" s="84"/>
      <c r="C2" s="84"/>
      <c r="D2" s="84"/>
      <c r="E2" s="84"/>
      <c r="F2" s="85" t="s">
        <v>15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6" t="s">
        <v>1262</v>
      </c>
      <c r="Y2" s="86"/>
    </row>
    <row r="3" spans="2:25" ht="15" customHeight="1" x14ac:dyDescent="0.2">
      <c r="B3" s="84"/>
      <c r="C3" s="84"/>
      <c r="D3" s="84"/>
      <c r="E3" s="84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6"/>
      <c r="Y3" s="86"/>
    </row>
    <row r="4" spans="2:25" ht="15.75" customHeight="1" x14ac:dyDescent="0.2">
      <c r="B4" s="84"/>
      <c r="C4" s="84"/>
      <c r="D4" s="84"/>
      <c r="E4" s="84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6"/>
      <c r="Y4" s="86"/>
    </row>
    <row r="5" spans="2:25" ht="15" customHeight="1" x14ac:dyDescent="0.2">
      <c r="B5" s="66" t="s">
        <v>0</v>
      </c>
      <c r="C5" s="67" t="s">
        <v>31</v>
      </c>
      <c r="D5" s="67" t="s">
        <v>32</v>
      </c>
      <c r="E5" s="67" t="s">
        <v>33</v>
      </c>
      <c r="F5" s="67" t="s">
        <v>1</v>
      </c>
      <c r="G5" s="68" t="s">
        <v>34</v>
      </c>
      <c r="H5" s="67" t="s">
        <v>2</v>
      </c>
      <c r="I5" s="67" t="s">
        <v>35</v>
      </c>
      <c r="J5" s="67" t="s">
        <v>36</v>
      </c>
      <c r="K5" s="67" t="s">
        <v>37</v>
      </c>
      <c r="L5" s="67" t="s">
        <v>4</v>
      </c>
      <c r="M5" s="67" t="s">
        <v>7</v>
      </c>
      <c r="N5" s="67" t="s">
        <v>8</v>
      </c>
      <c r="O5" s="67" t="s">
        <v>38</v>
      </c>
      <c r="P5" s="67" t="s">
        <v>39</v>
      </c>
      <c r="Q5" s="69" t="s">
        <v>5</v>
      </c>
      <c r="R5" s="67" t="s">
        <v>40</v>
      </c>
      <c r="S5" s="67" t="s">
        <v>10</v>
      </c>
      <c r="T5" s="67" t="s">
        <v>41</v>
      </c>
      <c r="U5" s="67" t="s">
        <v>42</v>
      </c>
      <c r="V5" s="67" t="s">
        <v>43</v>
      </c>
      <c r="W5" s="67" t="s">
        <v>13</v>
      </c>
      <c r="X5" s="67" t="s">
        <v>44</v>
      </c>
      <c r="Y5" s="70" t="s">
        <v>45</v>
      </c>
    </row>
    <row r="6" spans="2:25" ht="15" customHeight="1" x14ac:dyDescent="0.2">
      <c r="B6" s="15">
        <v>1</v>
      </c>
      <c r="C6" s="15" t="s">
        <v>46</v>
      </c>
      <c r="D6" s="15" t="s">
        <v>47</v>
      </c>
      <c r="E6" s="15" t="s">
        <v>48</v>
      </c>
      <c r="F6" s="15" t="s">
        <v>49</v>
      </c>
      <c r="G6" s="71">
        <v>4</v>
      </c>
      <c r="H6" s="15" t="s">
        <v>50</v>
      </c>
      <c r="I6" s="15" t="s">
        <v>51</v>
      </c>
      <c r="J6" s="16">
        <v>43166</v>
      </c>
      <c r="K6" s="12" t="s">
        <v>46</v>
      </c>
      <c r="L6" s="15" t="s">
        <v>52</v>
      </c>
      <c r="M6" s="15"/>
      <c r="N6" s="15"/>
      <c r="O6" s="15"/>
      <c r="P6" s="15" t="s">
        <v>53</v>
      </c>
      <c r="Q6" s="72">
        <v>2</v>
      </c>
      <c r="R6" s="15" t="s">
        <v>54</v>
      </c>
      <c r="S6" s="15" t="s">
        <v>55</v>
      </c>
      <c r="T6" s="15" t="s">
        <v>56</v>
      </c>
      <c r="U6" s="15" t="s">
        <v>57</v>
      </c>
      <c r="V6" s="15" t="s">
        <v>58</v>
      </c>
      <c r="W6" s="15" t="s">
        <v>59</v>
      </c>
      <c r="X6" s="15" t="s">
        <v>58</v>
      </c>
      <c r="Y6" s="15" t="s">
        <v>60</v>
      </c>
    </row>
    <row r="7" spans="2:25" ht="15" customHeight="1" x14ac:dyDescent="0.2">
      <c r="B7" s="15">
        <v>2</v>
      </c>
      <c r="C7" s="15" t="s">
        <v>46</v>
      </c>
      <c r="D7" s="15" t="s">
        <v>61</v>
      </c>
      <c r="E7" s="15" t="s">
        <v>48</v>
      </c>
      <c r="F7" s="15" t="s">
        <v>49</v>
      </c>
      <c r="G7" s="71">
        <v>4</v>
      </c>
      <c r="H7" s="15" t="s">
        <v>50</v>
      </c>
      <c r="I7" s="15" t="s">
        <v>51</v>
      </c>
      <c r="J7" s="16">
        <v>43170</v>
      </c>
      <c r="K7" s="12" t="s">
        <v>46</v>
      </c>
      <c r="L7" s="15" t="s">
        <v>62</v>
      </c>
      <c r="M7" s="15"/>
      <c r="N7" s="15"/>
      <c r="O7" s="15"/>
      <c r="P7" s="15" t="s">
        <v>53</v>
      </c>
      <c r="Q7" s="72">
        <v>2</v>
      </c>
      <c r="R7" s="15" t="s">
        <v>54</v>
      </c>
      <c r="S7" s="15" t="s">
        <v>55</v>
      </c>
      <c r="T7" s="15" t="s">
        <v>56</v>
      </c>
      <c r="U7" s="15" t="s">
        <v>57</v>
      </c>
      <c r="V7" s="15" t="s">
        <v>58</v>
      </c>
      <c r="W7" s="15" t="s">
        <v>59</v>
      </c>
      <c r="X7" s="15" t="s">
        <v>58</v>
      </c>
      <c r="Y7" s="15" t="s">
        <v>60</v>
      </c>
    </row>
    <row r="8" spans="2:25" ht="15" customHeight="1" x14ac:dyDescent="0.2">
      <c r="B8" s="15">
        <v>3</v>
      </c>
      <c r="C8" s="15" t="s">
        <v>46</v>
      </c>
      <c r="D8" s="15" t="s">
        <v>61</v>
      </c>
      <c r="E8" s="15" t="s">
        <v>48</v>
      </c>
      <c r="F8" s="15" t="s">
        <v>49</v>
      </c>
      <c r="G8" s="73">
        <v>4</v>
      </c>
      <c r="H8" s="15" t="s">
        <v>50</v>
      </c>
      <c r="I8" s="15" t="s">
        <v>51</v>
      </c>
      <c r="J8" s="16">
        <v>43170</v>
      </c>
      <c r="K8" s="12" t="s">
        <v>46</v>
      </c>
      <c r="L8" s="15" t="s">
        <v>63</v>
      </c>
      <c r="M8" s="15"/>
      <c r="N8" s="15"/>
      <c r="O8" s="15"/>
      <c r="P8" s="15" t="s">
        <v>53</v>
      </c>
      <c r="Q8" s="72">
        <v>2</v>
      </c>
      <c r="R8" s="15" t="s">
        <v>64</v>
      </c>
      <c r="S8" s="15" t="s">
        <v>55</v>
      </c>
      <c r="T8" s="15" t="s">
        <v>56</v>
      </c>
      <c r="U8" s="15" t="s">
        <v>57</v>
      </c>
      <c r="V8" s="15" t="s">
        <v>58</v>
      </c>
      <c r="W8" s="15" t="s">
        <v>59</v>
      </c>
      <c r="X8" s="15" t="s">
        <v>58</v>
      </c>
      <c r="Y8" s="15" t="s">
        <v>60</v>
      </c>
    </row>
    <row r="9" spans="2:25" ht="15" customHeight="1" x14ac:dyDescent="0.2">
      <c r="B9" s="15">
        <v>4</v>
      </c>
      <c r="C9" s="15" t="s">
        <v>46</v>
      </c>
      <c r="D9" s="15" t="s">
        <v>65</v>
      </c>
      <c r="E9" s="15" t="s">
        <v>48</v>
      </c>
      <c r="F9" s="15" t="s">
        <v>66</v>
      </c>
      <c r="G9" s="73">
        <v>4</v>
      </c>
      <c r="H9" s="15" t="s">
        <v>50</v>
      </c>
      <c r="I9" s="15" t="s">
        <v>51</v>
      </c>
      <c r="J9" s="12" t="s">
        <v>67</v>
      </c>
      <c r="K9" s="12" t="s">
        <v>46</v>
      </c>
      <c r="L9" s="15" t="s">
        <v>68</v>
      </c>
      <c r="M9" s="15"/>
      <c r="N9" s="15"/>
      <c r="O9" s="15"/>
      <c r="P9" s="15" t="s">
        <v>69</v>
      </c>
      <c r="Q9" s="72">
        <v>1</v>
      </c>
      <c r="R9" s="15" t="s">
        <v>6</v>
      </c>
      <c r="S9" s="15" t="s">
        <v>55</v>
      </c>
      <c r="T9" s="15" t="s">
        <v>70</v>
      </c>
      <c r="U9" s="15" t="s">
        <v>57</v>
      </c>
      <c r="V9" s="15" t="s">
        <v>58</v>
      </c>
      <c r="W9" s="15" t="s">
        <v>71</v>
      </c>
      <c r="X9" s="15" t="s">
        <v>58</v>
      </c>
      <c r="Y9" s="15" t="s">
        <v>60</v>
      </c>
    </row>
    <row r="10" spans="2:25" ht="15" customHeight="1" x14ac:dyDescent="0.2">
      <c r="B10" s="15">
        <v>5</v>
      </c>
      <c r="C10" s="15" t="s">
        <v>46</v>
      </c>
      <c r="D10" s="15" t="s">
        <v>65</v>
      </c>
      <c r="E10" s="15" t="s">
        <v>48</v>
      </c>
      <c r="F10" s="15" t="s">
        <v>66</v>
      </c>
      <c r="G10" s="73">
        <v>4</v>
      </c>
      <c r="H10" s="15" t="s">
        <v>50</v>
      </c>
      <c r="I10" s="15" t="s">
        <v>51</v>
      </c>
      <c r="J10" s="12" t="s">
        <v>67</v>
      </c>
      <c r="K10" s="12" t="s">
        <v>46</v>
      </c>
      <c r="L10" s="15" t="s">
        <v>72</v>
      </c>
      <c r="M10" s="15"/>
      <c r="N10" s="15"/>
      <c r="O10" s="15"/>
      <c r="P10" s="15" t="s">
        <v>69</v>
      </c>
      <c r="Q10" s="72">
        <v>8</v>
      </c>
      <c r="R10" s="15" t="s">
        <v>6</v>
      </c>
      <c r="S10" s="15" t="s">
        <v>55</v>
      </c>
      <c r="T10" s="15" t="s">
        <v>70</v>
      </c>
      <c r="U10" s="15" t="s">
        <v>57</v>
      </c>
      <c r="V10" s="15" t="s">
        <v>58</v>
      </c>
      <c r="W10" s="15" t="s">
        <v>71</v>
      </c>
      <c r="X10" s="15" t="s">
        <v>58</v>
      </c>
      <c r="Y10" s="15" t="s">
        <v>60</v>
      </c>
    </row>
    <row r="11" spans="2:25" ht="15" customHeight="1" x14ac:dyDescent="0.2">
      <c r="B11" s="15">
        <v>6</v>
      </c>
      <c r="C11" s="15" t="s">
        <v>46</v>
      </c>
      <c r="D11" s="15" t="s">
        <v>65</v>
      </c>
      <c r="E11" s="15" t="s">
        <v>48</v>
      </c>
      <c r="F11" s="15" t="s">
        <v>66</v>
      </c>
      <c r="G11" s="73">
        <v>4</v>
      </c>
      <c r="H11" s="15" t="s">
        <v>50</v>
      </c>
      <c r="I11" s="15" t="s">
        <v>51</v>
      </c>
      <c r="J11" s="12" t="s">
        <v>67</v>
      </c>
      <c r="K11" s="12" t="s">
        <v>46</v>
      </c>
      <c r="L11" s="15" t="s">
        <v>73</v>
      </c>
      <c r="M11" s="15"/>
      <c r="N11" s="15"/>
      <c r="O11" s="15"/>
      <c r="P11" s="15" t="s">
        <v>69</v>
      </c>
      <c r="Q11" s="72">
        <v>8</v>
      </c>
      <c r="R11" s="15" t="s">
        <v>6</v>
      </c>
      <c r="S11" s="15" t="s">
        <v>55</v>
      </c>
      <c r="T11" s="15" t="s">
        <v>70</v>
      </c>
      <c r="U11" s="15" t="s">
        <v>57</v>
      </c>
      <c r="V11" s="15" t="s">
        <v>58</v>
      </c>
      <c r="W11" s="15" t="s">
        <v>71</v>
      </c>
      <c r="X11" s="15" t="s">
        <v>58</v>
      </c>
      <c r="Y11" s="15" t="s">
        <v>60</v>
      </c>
    </row>
    <row r="12" spans="2:25" ht="15" customHeight="1" x14ac:dyDescent="0.2">
      <c r="B12" s="15">
        <v>7</v>
      </c>
      <c r="C12" s="15" t="s">
        <v>46</v>
      </c>
      <c r="D12" s="15" t="s">
        <v>74</v>
      </c>
      <c r="E12" s="15" t="s">
        <v>48</v>
      </c>
      <c r="F12" s="15" t="s">
        <v>75</v>
      </c>
      <c r="G12" s="73">
        <v>1</v>
      </c>
      <c r="H12" s="15" t="s">
        <v>76</v>
      </c>
      <c r="I12" s="15" t="s">
        <v>77</v>
      </c>
      <c r="J12" s="16">
        <v>82</v>
      </c>
      <c r="K12" s="12" t="s">
        <v>46</v>
      </c>
      <c r="L12" s="15" t="s">
        <v>78</v>
      </c>
      <c r="M12" s="15"/>
      <c r="N12" s="15"/>
      <c r="O12" s="15"/>
      <c r="P12" s="15" t="s">
        <v>79</v>
      </c>
      <c r="Q12" s="72">
        <v>1</v>
      </c>
      <c r="R12" s="15" t="s">
        <v>6</v>
      </c>
      <c r="S12" s="15" t="s">
        <v>80</v>
      </c>
      <c r="T12" s="15" t="s">
        <v>56</v>
      </c>
      <c r="U12" s="15" t="s">
        <v>81</v>
      </c>
      <c r="V12" s="15" t="s">
        <v>58</v>
      </c>
      <c r="W12" s="15" t="s">
        <v>82</v>
      </c>
      <c r="X12" s="15" t="s">
        <v>58</v>
      </c>
      <c r="Y12" s="15" t="s">
        <v>60</v>
      </c>
    </row>
    <row r="13" spans="2:25" ht="15" customHeight="1" x14ac:dyDescent="0.2">
      <c r="B13" s="15">
        <v>8</v>
      </c>
      <c r="C13" s="15" t="s">
        <v>46</v>
      </c>
      <c r="D13" s="15" t="s">
        <v>74</v>
      </c>
      <c r="E13" s="15" t="s">
        <v>48</v>
      </c>
      <c r="F13" s="15" t="s">
        <v>75</v>
      </c>
      <c r="G13" s="73">
        <v>1</v>
      </c>
      <c r="H13" s="15" t="s">
        <v>76</v>
      </c>
      <c r="I13" s="15" t="s">
        <v>77</v>
      </c>
      <c r="J13" s="16">
        <v>82</v>
      </c>
      <c r="K13" s="12" t="s">
        <v>46</v>
      </c>
      <c r="L13" s="15" t="s">
        <v>83</v>
      </c>
      <c r="M13" s="15"/>
      <c r="N13" s="15"/>
      <c r="O13" s="15"/>
      <c r="P13" s="15" t="s">
        <v>79</v>
      </c>
      <c r="Q13" s="72">
        <v>1</v>
      </c>
      <c r="R13" s="15" t="s">
        <v>6</v>
      </c>
      <c r="S13" s="15" t="s">
        <v>80</v>
      </c>
      <c r="T13" s="15" t="s">
        <v>56</v>
      </c>
      <c r="U13" s="15" t="s">
        <v>81</v>
      </c>
      <c r="V13" s="15" t="s">
        <v>58</v>
      </c>
      <c r="W13" s="15" t="s">
        <v>82</v>
      </c>
      <c r="X13" s="15" t="s">
        <v>58</v>
      </c>
      <c r="Y13" s="15" t="s">
        <v>60</v>
      </c>
    </row>
    <row r="14" spans="2:25" ht="15" customHeight="1" x14ac:dyDescent="0.2">
      <c r="B14" s="15">
        <v>9</v>
      </c>
      <c r="C14" s="15" t="s">
        <v>46</v>
      </c>
      <c r="D14" s="15" t="s">
        <v>84</v>
      </c>
      <c r="E14" s="15" t="s">
        <v>48</v>
      </c>
      <c r="F14" s="15" t="s">
        <v>48</v>
      </c>
      <c r="G14" s="73">
        <v>3</v>
      </c>
      <c r="H14" s="15" t="s">
        <v>85</v>
      </c>
      <c r="I14" s="15" t="s">
        <v>77</v>
      </c>
      <c r="J14" s="12" t="s">
        <v>86</v>
      </c>
      <c r="K14" s="12" t="s">
        <v>46</v>
      </c>
      <c r="L14" s="15" t="s">
        <v>87</v>
      </c>
      <c r="M14" s="15"/>
      <c r="N14" s="15"/>
      <c r="O14" s="15" t="s">
        <v>88</v>
      </c>
      <c r="P14" s="15" t="s">
        <v>79</v>
      </c>
      <c r="Q14" s="72">
        <v>1</v>
      </c>
      <c r="R14" s="15" t="s">
        <v>6</v>
      </c>
      <c r="S14" s="15" t="s">
        <v>89</v>
      </c>
      <c r="T14" s="15" t="s">
        <v>70</v>
      </c>
      <c r="U14" s="15" t="s">
        <v>81</v>
      </c>
      <c r="V14" s="15" t="s">
        <v>58</v>
      </c>
      <c r="W14" s="15" t="s">
        <v>90</v>
      </c>
      <c r="X14" s="15" t="s">
        <v>58</v>
      </c>
      <c r="Y14" s="15" t="s">
        <v>60</v>
      </c>
    </row>
    <row r="15" spans="2:25" ht="15" customHeight="1" x14ac:dyDescent="0.2">
      <c r="B15" s="15">
        <v>10</v>
      </c>
      <c r="C15" s="15" t="s">
        <v>46</v>
      </c>
      <c r="D15" s="15" t="s">
        <v>91</v>
      </c>
      <c r="E15" s="15" t="s">
        <v>48</v>
      </c>
      <c r="F15" s="15" t="s">
        <v>48</v>
      </c>
      <c r="G15" s="73">
        <v>4</v>
      </c>
      <c r="H15" s="15" t="s">
        <v>92</v>
      </c>
      <c r="I15" s="15" t="s">
        <v>77</v>
      </c>
      <c r="J15" s="12" t="s">
        <v>67</v>
      </c>
      <c r="K15" s="12" t="s">
        <v>93</v>
      </c>
      <c r="L15" s="15" t="s">
        <v>94</v>
      </c>
      <c r="M15" s="15"/>
      <c r="N15" s="15"/>
      <c r="O15" s="15"/>
      <c r="P15" s="15" t="s">
        <v>79</v>
      </c>
      <c r="Q15" s="72">
        <v>6</v>
      </c>
      <c r="R15" s="15" t="s">
        <v>6</v>
      </c>
      <c r="S15" s="15" t="s">
        <v>55</v>
      </c>
      <c r="T15" s="15" t="s">
        <v>95</v>
      </c>
      <c r="U15" s="15" t="s">
        <v>81</v>
      </c>
      <c r="V15" s="15" t="s">
        <v>58</v>
      </c>
      <c r="W15" s="15" t="s">
        <v>96</v>
      </c>
      <c r="X15" s="15" t="s">
        <v>58</v>
      </c>
      <c r="Y15" s="15" t="s">
        <v>60</v>
      </c>
    </row>
    <row r="16" spans="2:25" ht="15" customHeight="1" x14ac:dyDescent="0.2">
      <c r="B16" s="15">
        <v>11</v>
      </c>
      <c r="C16" s="15" t="s">
        <v>46</v>
      </c>
      <c r="D16" s="15" t="s">
        <v>91</v>
      </c>
      <c r="E16" s="15" t="s">
        <v>48</v>
      </c>
      <c r="F16" s="15" t="s">
        <v>48</v>
      </c>
      <c r="G16" s="73">
        <v>4</v>
      </c>
      <c r="H16" s="15" t="s">
        <v>92</v>
      </c>
      <c r="I16" s="15" t="s">
        <v>77</v>
      </c>
      <c r="J16" s="12" t="s">
        <v>67</v>
      </c>
      <c r="K16" s="12" t="s">
        <v>97</v>
      </c>
      <c r="L16" s="15" t="s">
        <v>98</v>
      </c>
      <c r="M16" s="15"/>
      <c r="N16" s="15"/>
      <c r="O16" s="15" t="s">
        <v>99</v>
      </c>
      <c r="P16" s="15" t="s">
        <v>79</v>
      </c>
      <c r="Q16" s="72">
        <v>1</v>
      </c>
      <c r="R16" s="15" t="s">
        <v>6</v>
      </c>
      <c r="S16" s="15" t="s">
        <v>55</v>
      </c>
      <c r="T16" s="15" t="s">
        <v>95</v>
      </c>
      <c r="U16" s="15" t="s">
        <v>81</v>
      </c>
      <c r="V16" s="15" t="s">
        <v>58</v>
      </c>
      <c r="W16" s="15" t="s">
        <v>96</v>
      </c>
      <c r="X16" s="15" t="s">
        <v>58</v>
      </c>
      <c r="Y16" s="15" t="s">
        <v>60</v>
      </c>
    </row>
    <row r="17" spans="2:25" ht="15" customHeight="1" x14ac:dyDescent="0.2">
      <c r="B17" s="15">
        <v>12</v>
      </c>
      <c r="C17" s="15" t="s">
        <v>46</v>
      </c>
      <c r="D17" s="15" t="s">
        <v>91</v>
      </c>
      <c r="E17" s="15" t="s">
        <v>48</v>
      </c>
      <c r="F17" s="15" t="s">
        <v>48</v>
      </c>
      <c r="G17" s="73">
        <v>4</v>
      </c>
      <c r="H17" s="15" t="s">
        <v>92</v>
      </c>
      <c r="I17" s="15" t="s">
        <v>77</v>
      </c>
      <c r="J17" s="12" t="s">
        <v>67</v>
      </c>
      <c r="K17" s="12" t="s">
        <v>97</v>
      </c>
      <c r="L17" s="15" t="s">
        <v>98</v>
      </c>
      <c r="M17" s="15"/>
      <c r="N17" s="15"/>
      <c r="O17" s="15" t="s">
        <v>100</v>
      </c>
      <c r="P17" s="15" t="s">
        <v>79</v>
      </c>
      <c r="Q17" s="72">
        <v>1</v>
      </c>
      <c r="R17" s="15" t="s">
        <v>6</v>
      </c>
      <c r="S17" s="15" t="s">
        <v>55</v>
      </c>
      <c r="T17" s="15" t="s">
        <v>95</v>
      </c>
      <c r="U17" s="15" t="s">
        <v>81</v>
      </c>
      <c r="V17" s="15" t="s">
        <v>58</v>
      </c>
      <c r="W17" s="15" t="s">
        <v>96</v>
      </c>
      <c r="X17" s="15" t="s">
        <v>58</v>
      </c>
      <c r="Y17" s="15" t="s">
        <v>60</v>
      </c>
    </row>
    <row r="18" spans="2:25" ht="15" customHeight="1" x14ac:dyDescent="0.2">
      <c r="B18" s="15">
        <v>13</v>
      </c>
      <c r="C18" s="15" t="s">
        <v>46</v>
      </c>
      <c r="D18" s="15" t="s">
        <v>91</v>
      </c>
      <c r="E18" s="15" t="s">
        <v>48</v>
      </c>
      <c r="F18" s="15" t="s">
        <v>48</v>
      </c>
      <c r="G18" s="73">
        <v>4</v>
      </c>
      <c r="H18" s="15" t="s">
        <v>92</v>
      </c>
      <c r="I18" s="15" t="s">
        <v>77</v>
      </c>
      <c r="J18" s="12" t="s">
        <v>67</v>
      </c>
      <c r="K18" s="12" t="s">
        <v>101</v>
      </c>
      <c r="L18" s="15" t="s">
        <v>102</v>
      </c>
      <c r="M18" s="15"/>
      <c r="N18" s="15"/>
      <c r="O18" s="15"/>
      <c r="P18" s="15" t="s">
        <v>79</v>
      </c>
      <c r="Q18" s="72">
        <v>3</v>
      </c>
      <c r="R18" s="15" t="s">
        <v>6</v>
      </c>
      <c r="S18" s="15" t="s">
        <v>55</v>
      </c>
      <c r="T18" s="15" t="s">
        <v>95</v>
      </c>
      <c r="U18" s="15" t="s">
        <v>81</v>
      </c>
      <c r="V18" s="15" t="s">
        <v>58</v>
      </c>
      <c r="W18" s="15" t="s">
        <v>96</v>
      </c>
      <c r="X18" s="15" t="s">
        <v>58</v>
      </c>
      <c r="Y18" s="15" t="s">
        <v>60</v>
      </c>
    </row>
    <row r="19" spans="2:25" ht="15" customHeight="1" x14ac:dyDescent="0.2">
      <c r="B19" s="15">
        <v>14</v>
      </c>
      <c r="C19" s="15" t="s">
        <v>46</v>
      </c>
      <c r="D19" s="15" t="s">
        <v>91</v>
      </c>
      <c r="E19" s="15" t="s">
        <v>48</v>
      </c>
      <c r="F19" s="15" t="s">
        <v>48</v>
      </c>
      <c r="G19" s="73">
        <v>4</v>
      </c>
      <c r="H19" s="15" t="s">
        <v>92</v>
      </c>
      <c r="I19" s="15" t="s">
        <v>77</v>
      </c>
      <c r="J19" s="12" t="s">
        <v>67</v>
      </c>
      <c r="K19" s="12" t="s">
        <v>103</v>
      </c>
      <c r="L19" s="15" t="s">
        <v>104</v>
      </c>
      <c r="M19" s="15"/>
      <c r="N19" s="15"/>
      <c r="O19" s="15"/>
      <c r="P19" s="15" t="s">
        <v>79</v>
      </c>
      <c r="Q19" s="72">
        <v>1</v>
      </c>
      <c r="R19" s="15" t="s">
        <v>6</v>
      </c>
      <c r="S19" s="15" t="s">
        <v>55</v>
      </c>
      <c r="T19" s="15" t="s">
        <v>95</v>
      </c>
      <c r="U19" s="15" t="s">
        <v>81</v>
      </c>
      <c r="V19" s="15" t="s">
        <v>58</v>
      </c>
      <c r="W19" s="15" t="s">
        <v>96</v>
      </c>
      <c r="X19" s="15" t="s">
        <v>58</v>
      </c>
      <c r="Y19" s="15" t="s">
        <v>60</v>
      </c>
    </row>
    <row r="20" spans="2:25" ht="15" customHeight="1" x14ac:dyDescent="0.2">
      <c r="B20" s="15">
        <v>15</v>
      </c>
      <c r="C20" s="15" t="s">
        <v>46</v>
      </c>
      <c r="D20" s="15" t="s">
        <v>91</v>
      </c>
      <c r="E20" s="15" t="s">
        <v>48</v>
      </c>
      <c r="F20" s="15" t="s">
        <v>48</v>
      </c>
      <c r="G20" s="73">
        <v>4</v>
      </c>
      <c r="H20" s="15" t="s">
        <v>92</v>
      </c>
      <c r="I20" s="15" t="s">
        <v>77</v>
      </c>
      <c r="J20" s="12" t="s">
        <v>67</v>
      </c>
      <c r="K20" s="12" t="s">
        <v>103</v>
      </c>
      <c r="L20" s="15" t="s">
        <v>105</v>
      </c>
      <c r="M20" s="15"/>
      <c r="N20" s="15"/>
      <c r="O20" s="15"/>
      <c r="P20" s="15" t="s">
        <v>79</v>
      </c>
      <c r="Q20" s="72">
        <v>1</v>
      </c>
      <c r="R20" s="15" t="s">
        <v>6</v>
      </c>
      <c r="S20" s="15" t="s">
        <v>55</v>
      </c>
      <c r="T20" s="15" t="s">
        <v>95</v>
      </c>
      <c r="U20" s="15" t="s">
        <v>81</v>
      </c>
      <c r="V20" s="15" t="s">
        <v>58</v>
      </c>
      <c r="W20" s="15" t="s">
        <v>96</v>
      </c>
      <c r="X20" s="15" t="s">
        <v>58</v>
      </c>
      <c r="Y20" s="15" t="s">
        <v>60</v>
      </c>
    </row>
    <row r="21" spans="2:25" ht="15" customHeight="1" x14ac:dyDescent="0.2">
      <c r="B21" s="15">
        <v>16</v>
      </c>
      <c r="C21" s="15" t="s">
        <v>46</v>
      </c>
      <c r="D21" s="15" t="s">
        <v>91</v>
      </c>
      <c r="E21" s="15" t="s">
        <v>48</v>
      </c>
      <c r="F21" s="15" t="s">
        <v>48</v>
      </c>
      <c r="G21" s="73">
        <v>4</v>
      </c>
      <c r="H21" s="15" t="s">
        <v>92</v>
      </c>
      <c r="I21" s="15" t="s">
        <v>77</v>
      </c>
      <c r="J21" s="12" t="s">
        <v>67</v>
      </c>
      <c r="K21" s="12" t="s">
        <v>106</v>
      </c>
      <c r="L21" s="15" t="s">
        <v>107</v>
      </c>
      <c r="M21" s="15"/>
      <c r="N21" s="15"/>
      <c r="O21" s="15"/>
      <c r="P21" s="15" t="s">
        <v>79</v>
      </c>
      <c r="Q21" s="72">
        <v>4</v>
      </c>
      <c r="R21" s="15" t="s">
        <v>6</v>
      </c>
      <c r="S21" s="15" t="s">
        <v>55</v>
      </c>
      <c r="T21" s="15" t="s">
        <v>95</v>
      </c>
      <c r="U21" s="15" t="s">
        <v>81</v>
      </c>
      <c r="V21" s="15" t="s">
        <v>58</v>
      </c>
      <c r="W21" s="15" t="s">
        <v>96</v>
      </c>
      <c r="X21" s="15" t="s">
        <v>58</v>
      </c>
      <c r="Y21" s="15" t="s">
        <v>60</v>
      </c>
    </row>
    <row r="22" spans="2:25" ht="15" customHeight="1" x14ac:dyDescent="0.2">
      <c r="B22" s="15">
        <v>17</v>
      </c>
      <c r="C22" s="15" t="s">
        <v>46</v>
      </c>
      <c r="D22" s="15" t="s">
        <v>91</v>
      </c>
      <c r="E22" s="15" t="s">
        <v>48</v>
      </c>
      <c r="F22" s="15" t="s">
        <v>48</v>
      </c>
      <c r="G22" s="73">
        <v>4</v>
      </c>
      <c r="H22" s="15" t="s">
        <v>92</v>
      </c>
      <c r="I22" s="15" t="s">
        <v>77</v>
      </c>
      <c r="J22" s="12" t="s">
        <v>67</v>
      </c>
      <c r="K22" s="12" t="s">
        <v>108</v>
      </c>
      <c r="L22" s="15" t="s">
        <v>109</v>
      </c>
      <c r="M22" s="15"/>
      <c r="N22" s="15"/>
      <c r="O22" s="15"/>
      <c r="P22" s="15" t="s">
        <v>79</v>
      </c>
      <c r="Q22" s="72">
        <v>10</v>
      </c>
      <c r="R22" s="15" t="s">
        <v>6</v>
      </c>
      <c r="S22" s="15" t="s">
        <v>55</v>
      </c>
      <c r="T22" s="15" t="s">
        <v>95</v>
      </c>
      <c r="U22" s="15" t="s">
        <v>81</v>
      </c>
      <c r="V22" s="15" t="s">
        <v>58</v>
      </c>
      <c r="W22" s="15" t="s">
        <v>96</v>
      </c>
      <c r="X22" s="15" t="s">
        <v>58</v>
      </c>
      <c r="Y22" s="15" t="s">
        <v>60</v>
      </c>
    </row>
    <row r="23" spans="2:25" ht="15" customHeight="1" x14ac:dyDescent="0.2">
      <c r="B23" s="15">
        <v>18</v>
      </c>
      <c r="C23" s="15" t="s">
        <v>46</v>
      </c>
      <c r="D23" s="15" t="s">
        <v>91</v>
      </c>
      <c r="E23" s="15" t="s">
        <v>48</v>
      </c>
      <c r="F23" s="15" t="s">
        <v>48</v>
      </c>
      <c r="G23" s="73">
        <v>4</v>
      </c>
      <c r="H23" s="15" t="s">
        <v>92</v>
      </c>
      <c r="I23" s="15" t="s">
        <v>77</v>
      </c>
      <c r="J23" s="12" t="s">
        <v>67</v>
      </c>
      <c r="K23" s="12" t="s">
        <v>110</v>
      </c>
      <c r="L23" s="15" t="s">
        <v>111</v>
      </c>
      <c r="M23" s="15"/>
      <c r="N23" s="15"/>
      <c r="O23" s="15"/>
      <c r="P23" s="15" t="s">
        <v>79</v>
      </c>
      <c r="Q23" s="72">
        <v>1</v>
      </c>
      <c r="R23" s="15" t="s">
        <v>6</v>
      </c>
      <c r="S23" s="15" t="s">
        <v>55</v>
      </c>
      <c r="T23" s="15" t="s">
        <v>95</v>
      </c>
      <c r="U23" s="15" t="s">
        <v>81</v>
      </c>
      <c r="V23" s="15" t="s">
        <v>58</v>
      </c>
      <c r="W23" s="15" t="s">
        <v>96</v>
      </c>
      <c r="X23" s="15" t="s">
        <v>58</v>
      </c>
      <c r="Y23" s="15" t="s">
        <v>60</v>
      </c>
    </row>
    <row r="24" spans="2:25" ht="15" customHeight="1" x14ac:dyDescent="0.2">
      <c r="B24" s="15">
        <v>19</v>
      </c>
      <c r="C24" s="15" t="s">
        <v>46</v>
      </c>
      <c r="D24" s="15" t="s">
        <v>112</v>
      </c>
      <c r="E24" s="15" t="s">
        <v>48</v>
      </c>
      <c r="F24" s="15" t="s">
        <v>48</v>
      </c>
      <c r="G24" s="73">
        <v>4</v>
      </c>
      <c r="H24" s="15" t="s">
        <v>92</v>
      </c>
      <c r="I24" s="15" t="s">
        <v>77</v>
      </c>
      <c r="J24" s="12" t="s">
        <v>67</v>
      </c>
      <c r="K24" s="12" t="s">
        <v>46</v>
      </c>
      <c r="L24" s="15" t="s">
        <v>113</v>
      </c>
      <c r="M24" s="15" t="s">
        <v>114</v>
      </c>
      <c r="N24" s="15"/>
      <c r="O24" s="15"/>
      <c r="P24" s="15" t="s">
        <v>79</v>
      </c>
      <c r="Q24" s="72">
        <v>1</v>
      </c>
      <c r="R24" s="15" t="s">
        <v>54</v>
      </c>
      <c r="S24" s="15" t="s">
        <v>55</v>
      </c>
      <c r="T24" s="15" t="s">
        <v>95</v>
      </c>
      <c r="U24" s="15" t="s">
        <v>81</v>
      </c>
      <c r="V24" s="15" t="s">
        <v>58</v>
      </c>
      <c r="W24" s="15" t="s">
        <v>96</v>
      </c>
      <c r="X24" s="15" t="s">
        <v>58</v>
      </c>
      <c r="Y24" s="15" t="s">
        <v>60</v>
      </c>
    </row>
    <row r="25" spans="2:25" ht="15" customHeight="1" x14ac:dyDescent="0.2">
      <c r="B25" s="15">
        <v>20</v>
      </c>
      <c r="C25" s="15" t="s">
        <v>46</v>
      </c>
      <c r="D25" s="15" t="s">
        <v>112</v>
      </c>
      <c r="E25" s="15" t="s">
        <v>48</v>
      </c>
      <c r="F25" s="15" t="s">
        <v>48</v>
      </c>
      <c r="G25" s="73">
        <v>4</v>
      </c>
      <c r="H25" s="15" t="s">
        <v>92</v>
      </c>
      <c r="I25" s="15" t="s">
        <v>77</v>
      </c>
      <c r="J25" s="12" t="s">
        <v>67</v>
      </c>
      <c r="K25" s="12" t="s">
        <v>46</v>
      </c>
      <c r="L25" s="15" t="s">
        <v>115</v>
      </c>
      <c r="M25" s="15" t="s">
        <v>114</v>
      </c>
      <c r="N25" s="15"/>
      <c r="O25" s="15"/>
      <c r="P25" s="15" t="s">
        <v>79</v>
      </c>
      <c r="Q25" s="72">
        <v>1</v>
      </c>
      <c r="R25" s="15" t="s">
        <v>54</v>
      </c>
      <c r="S25" s="15" t="s">
        <v>55</v>
      </c>
      <c r="T25" s="15" t="s">
        <v>95</v>
      </c>
      <c r="U25" s="15" t="s">
        <v>81</v>
      </c>
      <c r="V25" s="15" t="s">
        <v>58</v>
      </c>
      <c r="W25" s="15" t="s">
        <v>96</v>
      </c>
      <c r="X25" s="15" t="s">
        <v>58</v>
      </c>
      <c r="Y25" s="15" t="s">
        <v>60</v>
      </c>
    </row>
    <row r="26" spans="2:25" ht="15" customHeight="1" x14ac:dyDescent="0.2">
      <c r="B26" s="15">
        <v>21</v>
      </c>
      <c r="C26" s="15" t="s">
        <v>46</v>
      </c>
      <c r="D26" s="15" t="s">
        <v>112</v>
      </c>
      <c r="E26" s="15" t="s">
        <v>48</v>
      </c>
      <c r="F26" s="15" t="s">
        <v>48</v>
      </c>
      <c r="G26" s="73">
        <v>4</v>
      </c>
      <c r="H26" s="15" t="s">
        <v>92</v>
      </c>
      <c r="I26" s="15" t="s">
        <v>77</v>
      </c>
      <c r="J26" s="12" t="s">
        <v>67</v>
      </c>
      <c r="K26" s="12" t="s">
        <v>46</v>
      </c>
      <c r="L26" s="15" t="s">
        <v>116</v>
      </c>
      <c r="M26" s="15"/>
      <c r="N26" s="15"/>
      <c r="O26" s="15"/>
      <c r="P26" s="15" t="s">
        <v>79</v>
      </c>
      <c r="Q26" s="72">
        <v>2</v>
      </c>
      <c r="R26" s="15" t="s">
        <v>6</v>
      </c>
      <c r="S26" s="15" t="s">
        <v>55</v>
      </c>
      <c r="T26" s="15" t="s">
        <v>95</v>
      </c>
      <c r="U26" s="15" t="s">
        <v>81</v>
      </c>
      <c r="V26" s="15" t="s">
        <v>58</v>
      </c>
      <c r="W26" s="15" t="s">
        <v>96</v>
      </c>
      <c r="X26" s="15" t="s">
        <v>58</v>
      </c>
      <c r="Y26" s="15" t="s">
        <v>60</v>
      </c>
    </row>
    <row r="27" spans="2:25" ht="15" customHeight="1" x14ac:dyDescent="0.2">
      <c r="B27" s="15">
        <v>22</v>
      </c>
      <c r="C27" s="15" t="s">
        <v>46</v>
      </c>
      <c r="D27" s="15" t="s">
        <v>112</v>
      </c>
      <c r="E27" s="15" t="s">
        <v>48</v>
      </c>
      <c r="F27" s="15" t="s">
        <v>48</v>
      </c>
      <c r="G27" s="73">
        <v>4</v>
      </c>
      <c r="H27" s="15" t="s">
        <v>92</v>
      </c>
      <c r="I27" s="15" t="s">
        <v>77</v>
      </c>
      <c r="J27" s="12" t="s">
        <v>67</v>
      </c>
      <c r="K27" s="12" t="s">
        <v>117</v>
      </c>
      <c r="L27" s="15" t="s">
        <v>118</v>
      </c>
      <c r="M27" s="15" t="s">
        <v>114</v>
      </c>
      <c r="N27" s="15"/>
      <c r="O27" s="15"/>
      <c r="P27" s="15" t="s">
        <v>79</v>
      </c>
      <c r="Q27" s="72">
        <v>1</v>
      </c>
      <c r="R27" s="15" t="s">
        <v>6</v>
      </c>
      <c r="S27" s="15" t="s">
        <v>55</v>
      </c>
      <c r="T27" s="15" t="s">
        <v>95</v>
      </c>
      <c r="U27" s="15" t="s">
        <v>81</v>
      </c>
      <c r="V27" s="15" t="s">
        <v>58</v>
      </c>
      <c r="W27" s="15" t="s">
        <v>96</v>
      </c>
      <c r="X27" s="15" t="s">
        <v>58</v>
      </c>
      <c r="Y27" s="15" t="s">
        <v>60</v>
      </c>
    </row>
    <row r="28" spans="2:25" ht="15" customHeight="1" x14ac:dyDescent="0.2">
      <c r="B28" s="15">
        <v>23</v>
      </c>
      <c r="C28" s="15" t="s">
        <v>46</v>
      </c>
      <c r="D28" s="15" t="s">
        <v>112</v>
      </c>
      <c r="E28" s="15" t="s">
        <v>48</v>
      </c>
      <c r="F28" s="15" t="s">
        <v>48</v>
      </c>
      <c r="G28" s="73">
        <v>4</v>
      </c>
      <c r="H28" s="15" t="s">
        <v>92</v>
      </c>
      <c r="I28" s="15" t="s">
        <v>77</v>
      </c>
      <c r="J28" s="12" t="s">
        <v>67</v>
      </c>
      <c r="K28" s="12" t="s">
        <v>46</v>
      </c>
      <c r="L28" s="15" t="s">
        <v>119</v>
      </c>
      <c r="M28" s="15"/>
      <c r="N28" s="15"/>
      <c r="O28" s="15"/>
      <c r="P28" s="15" t="s">
        <v>79</v>
      </c>
      <c r="Q28" s="72">
        <v>1</v>
      </c>
      <c r="R28" s="15" t="s">
        <v>6</v>
      </c>
      <c r="S28" s="15" t="s">
        <v>55</v>
      </c>
      <c r="T28" s="15" t="s">
        <v>95</v>
      </c>
      <c r="U28" s="15" t="s">
        <v>81</v>
      </c>
      <c r="V28" s="15" t="s">
        <v>58</v>
      </c>
      <c r="W28" s="15" t="s">
        <v>96</v>
      </c>
      <c r="X28" s="15" t="s">
        <v>58</v>
      </c>
      <c r="Y28" s="15" t="s">
        <v>60</v>
      </c>
    </row>
    <row r="29" spans="2:25" ht="15" customHeight="1" x14ac:dyDescent="0.2">
      <c r="B29" s="15">
        <v>24</v>
      </c>
      <c r="C29" s="15" t="s">
        <v>46</v>
      </c>
      <c r="D29" s="15" t="s">
        <v>120</v>
      </c>
      <c r="E29" s="15" t="s">
        <v>48</v>
      </c>
      <c r="F29" s="15" t="s">
        <v>48</v>
      </c>
      <c r="G29" s="73">
        <v>4</v>
      </c>
      <c r="H29" s="15" t="s">
        <v>121</v>
      </c>
      <c r="I29" s="15" t="s">
        <v>77</v>
      </c>
      <c r="J29" s="12" t="s">
        <v>67</v>
      </c>
      <c r="K29" s="12" t="s">
        <v>122</v>
      </c>
      <c r="L29" s="15" t="s">
        <v>123</v>
      </c>
      <c r="M29" s="15" t="s">
        <v>124</v>
      </c>
      <c r="N29" s="15"/>
      <c r="O29" s="15"/>
      <c r="P29" s="15" t="s">
        <v>79</v>
      </c>
      <c r="Q29" s="72">
        <v>1</v>
      </c>
      <c r="R29" s="15" t="s">
        <v>6</v>
      </c>
      <c r="S29" s="15" t="s">
        <v>55</v>
      </c>
      <c r="T29" s="15" t="s">
        <v>125</v>
      </c>
      <c r="U29" s="15" t="s">
        <v>81</v>
      </c>
      <c r="V29" s="15" t="s">
        <v>58</v>
      </c>
      <c r="W29" s="15" t="s">
        <v>126</v>
      </c>
      <c r="X29" s="15" t="s">
        <v>58</v>
      </c>
      <c r="Y29" s="15" t="s">
        <v>60</v>
      </c>
    </row>
    <row r="30" spans="2:25" ht="15" customHeight="1" x14ac:dyDescent="0.2">
      <c r="B30" s="15">
        <v>25</v>
      </c>
      <c r="C30" s="15" t="s">
        <v>46</v>
      </c>
      <c r="D30" s="15" t="s">
        <v>120</v>
      </c>
      <c r="E30" s="15" t="s">
        <v>48</v>
      </c>
      <c r="F30" s="15" t="s">
        <v>48</v>
      </c>
      <c r="G30" s="73">
        <v>4</v>
      </c>
      <c r="H30" s="15" t="s">
        <v>121</v>
      </c>
      <c r="I30" s="15" t="s">
        <v>77</v>
      </c>
      <c r="J30" s="12" t="s">
        <v>67</v>
      </c>
      <c r="K30" s="12" t="s">
        <v>127</v>
      </c>
      <c r="L30" s="15" t="s">
        <v>128</v>
      </c>
      <c r="M30" s="15" t="s">
        <v>114</v>
      </c>
      <c r="N30" s="15"/>
      <c r="O30" s="15"/>
      <c r="P30" s="15" t="s">
        <v>79</v>
      </c>
      <c r="Q30" s="72">
        <v>2</v>
      </c>
      <c r="R30" s="15" t="s">
        <v>6</v>
      </c>
      <c r="S30" s="15" t="s">
        <v>55</v>
      </c>
      <c r="T30" s="15" t="s">
        <v>125</v>
      </c>
      <c r="U30" s="15" t="s">
        <v>81</v>
      </c>
      <c r="V30" s="15" t="s">
        <v>58</v>
      </c>
      <c r="W30" s="15" t="s">
        <v>126</v>
      </c>
      <c r="X30" s="15" t="s">
        <v>58</v>
      </c>
      <c r="Y30" s="15" t="s">
        <v>60</v>
      </c>
    </row>
    <row r="31" spans="2:25" ht="15" customHeight="1" x14ac:dyDescent="0.2">
      <c r="B31" s="15">
        <v>26</v>
      </c>
      <c r="C31" s="15" t="s">
        <v>46</v>
      </c>
      <c r="D31" s="15" t="s">
        <v>120</v>
      </c>
      <c r="E31" s="15" t="s">
        <v>48</v>
      </c>
      <c r="F31" s="15" t="s">
        <v>48</v>
      </c>
      <c r="G31" s="73">
        <v>4</v>
      </c>
      <c r="H31" s="15" t="s">
        <v>121</v>
      </c>
      <c r="I31" s="15" t="s">
        <v>77</v>
      </c>
      <c r="J31" s="12" t="s">
        <v>67</v>
      </c>
      <c r="K31" s="12" t="s">
        <v>46</v>
      </c>
      <c r="L31" s="15" t="s">
        <v>129</v>
      </c>
      <c r="M31" s="15" t="s">
        <v>114</v>
      </c>
      <c r="N31" s="15"/>
      <c r="O31" s="15"/>
      <c r="P31" s="15" t="s">
        <v>79</v>
      </c>
      <c r="Q31" s="72">
        <v>2</v>
      </c>
      <c r="R31" s="15" t="s">
        <v>6</v>
      </c>
      <c r="S31" s="15" t="s">
        <v>55</v>
      </c>
      <c r="T31" s="15" t="s">
        <v>125</v>
      </c>
      <c r="U31" s="15" t="s">
        <v>81</v>
      </c>
      <c r="V31" s="15" t="s">
        <v>58</v>
      </c>
      <c r="W31" s="15" t="s">
        <v>126</v>
      </c>
      <c r="X31" s="15" t="s">
        <v>58</v>
      </c>
      <c r="Y31" s="15" t="s">
        <v>60</v>
      </c>
    </row>
    <row r="32" spans="2:25" ht="15" customHeight="1" x14ac:dyDescent="0.2">
      <c r="B32" s="15">
        <v>27</v>
      </c>
      <c r="C32" s="15" t="s">
        <v>46</v>
      </c>
      <c r="D32" s="15" t="s">
        <v>120</v>
      </c>
      <c r="E32" s="15" t="s">
        <v>48</v>
      </c>
      <c r="F32" s="15" t="s">
        <v>48</v>
      </c>
      <c r="G32" s="73">
        <v>4</v>
      </c>
      <c r="H32" s="15" t="s">
        <v>121</v>
      </c>
      <c r="I32" s="15" t="s">
        <v>77</v>
      </c>
      <c r="J32" s="12" t="s">
        <v>67</v>
      </c>
      <c r="K32" s="12" t="s">
        <v>46</v>
      </c>
      <c r="L32" s="15" t="s">
        <v>130</v>
      </c>
      <c r="M32" s="15" t="s">
        <v>131</v>
      </c>
      <c r="N32" s="15"/>
      <c r="O32" s="15"/>
      <c r="P32" s="15" t="s">
        <v>79</v>
      </c>
      <c r="Q32" s="72">
        <v>2</v>
      </c>
      <c r="R32" s="15" t="s">
        <v>6</v>
      </c>
      <c r="S32" s="15" t="s">
        <v>55</v>
      </c>
      <c r="T32" s="15" t="s">
        <v>125</v>
      </c>
      <c r="U32" s="15" t="s">
        <v>81</v>
      </c>
      <c r="V32" s="15" t="s">
        <v>58</v>
      </c>
      <c r="W32" s="15" t="s">
        <v>126</v>
      </c>
      <c r="X32" s="15" t="s">
        <v>58</v>
      </c>
      <c r="Y32" s="15" t="s">
        <v>60</v>
      </c>
    </row>
    <row r="33" spans="2:25" ht="15" customHeight="1" x14ac:dyDescent="0.2">
      <c r="B33" s="15">
        <v>28</v>
      </c>
      <c r="C33" s="15" t="s">
        <v>46</v>
      </c>
      <c r="D33" s="15" t="s">
        <v>120</v>
      </c>
      <c r="E33" s="15" t="s">
        <v>48</v>
      </c>
      <c r="F33" s="15" t="s">
        <v>48</v>
      </c>
      <c r="G33" s="73">
        <v>4</v>
      </c>
      <c r="H33" s="15" t="s">
        <v>121</v>
      </c>
      <c r="I33" s="15" t="s">
        <v>77</v>
      </c>
      <c r="J33" s="12" t="s">
        <v>67</v>
      </c>
      <c r="K33" s="12" t="s">
        <v>132</v>
      </c>
      <c r="L33" s="15" t="s">
        <v>133</v>
      </c>
      <c r="M33" s="15" t="s">
        <v>134</v>
      </c>
      <c r="N33" s="15"/>
      <c r="O33" s="15"/>
      <c r="P33" s="15" t="s">
        <v>79</v>
      </c>
      <c r="Q33" s="72">
        <v>2</v>
      </c>
      <c r="R33" s="15" t="s">
        <v>6</v>
      </c>
      <c r="S33" s="15" t="s">
        <v>55</v>
      </c>
      <c r="T33" s="15" t="s">
        <v>125</v>
      </c>
      <c r="U33" s="15" t="s">
        <v>81</v>
      </c>
      <c r="V33" s="15" t="s">
        <v>58</v>
      </c>
      <c r="W33" s="15" t="s">
        <v>126</v>
      </c>
      <c r="X33" s="15" t="s">
        <v>58</v>
      </c>
      <c r="Y33" s="15" t="s">
        <v>60</v>
      </c>
    </row>
    <row r="34" spans="2:25" ht="15" customHeight="1" x14ac:dyDescent="0.2">
      <c r="B34" s="15">
        <v>29</v>
      </c>
      <c r="C34" s="15" t="s">
        <v>46</v>
      </c>
      <c r="D34" s="15" t="s">
        <v>120</v>
      </c>
      <c r="E34" s="15" t="s">
        <v>48</v>
      </c>
      <c r="F34" s="15" t="s">
        <v>48</v>
      </c>
      <c r="G34" s="73">
        <v>4</v>
      </c>
      <c r="H34" s="15" t="s">
        <v>121</v>
      </c>
      <c r="I34" s="15" t="s">
        <v>77</v>
      </c>
      <c r="J34" s="12" t="s">
        <v>67</v>
      </c>
      <c r="K34" s="12" t="s">
        <v>46</v>
      </c>
      <c r="L34" s="15" t="s">
        <v>135</v>
      </c>
      <c r="M34" s="15" t="s">
        <v>136</v>
      </c>
      <c r="N34" s="15"/>
      <c r="O34" s="15"/>
      <c r="P34" s="15" t="s">
        <v>79</v>
      </c>
      <c r="Q34" s="72">
        <v>2</v>
      </c>
      <c r="R34" s="15" t="s">
        <v>6</v>
      </c>
      <c r="S34" s="15" t="s">
        <v>55</v>
      </c>
      <c r="T34" s="15" t="s">
        <v>125</v>
      </c>
      <c r="U34" s="15" t="s">
        <v>81</v>
      </c>
      <c r="V34" s="15" t="s">
        <v>58</v>
      </c>
      <c r="W34" s="15" t="s">
        <v>126</v>
      </c>
      <c r="X34" s="15" t="s">
        <v>58</v>
      </c>
      <c r="Y34" s="15" t="s">
        <v>60</v>
      </c>
    </row>
    <row r="35" spans="2:25" ht="15" customHeight="1" x14ac:dyDescent="0.2">
      <c r="B35" s="15">
        <v>30</v>
      </c>
      <c r="C35" s="15" t="s">
        <v>46</v>
      </c>
      <c r="D35" s="15" t="s">
        <v>120</v>
      </c>
      <c r="E35" s="15" t="s">
        <v>48</v>
      </c>
      <c r="F35" s="15" t="s">
        <v>48</v>
      </c>
      <c r="G35" s="73">
        <v>4</v>
      </c>
      <c r="H35" s="15" t="s">
        <v>121</v>
      </c>
      <c r="I35" s="15" t="s">
        <v>77</v>
      </c>
      <c r="J35" s="12" t="s">
        <v>67</v>
      </c>
      <c r="K35" s="12" t="s">
        <v>137</v>
      </c>
      <c r="L35" s="15" t="s">
        <v>138</v>
      </c>
      <c r="M35" s="15" t="s">
        <v>124</v>
      </c>
      <c r="N35" s="15"/>
      <c r="O35" s="15"/>
      <c r="P35" s="15" t="s">
        <v>79</v>
      </c>
      <c r="Q35" s="72">
        <v>1</v>
      </c>
      <c r="R35" s="15" t="s">
        <v>54</v>
      </c>
      <c r="S35" s="15" t="s">
        <v>55</v>
      </c>
      <c r="T35" s="15" t="s">
        <v>125</v>
      </c>
      <c r="U35" s="15" t="s">
        <v>81</v>
      </c>
      <c r="V35" s="15" t="s">
        <v>58</v>
      </c>
      <c r="W35" s="15" t="s">
        <v>126</v>
      </c>
      <c r="X35" s="15" t="s">
        <v>58</v>
      </c>
      <c r="Y35" s="15" t="s">
        <v>60</v>
      </c>
    </row>
    <row r="36" spans="2:25" ht="15" customHeight="1" x14ac:dyDescent="0.2">
      <c r="B36" s="15">
        <v>31</v>
      </c>
      <c r="C36" s="15" t="s">
        <v>46</v>
      </c>
      <c r="D36" s="15" t="s">
        <v>120</v>
      </c>
      <c r="E36" s="15" t="s">
        <v>48</v>
      </c>
      <c r="F36" s="15" t="s">
        <v>48</v>
      </c>
      <c r="G36" s="73">
        <v>4</v>
      </c>
      <c r="H36" s="15" t="s">
        <v>121</v>
      </c>
      <c r="I36" s="15" t="s">
        <v>77</v>
      </c>
      <c r="J36" s="12" t="s">
        <v>67</v>
      </c>
      <c r="K36" s="12" t="s">
        <v>139</v>
      </c>
      <c r="L36" s="15" t="s">
        <v>140</v>
      </c>
      <c r="M36" s="15" t="s">
        <v>134</v>
      </c>
      <c r="N36" s="15"/>
      <c r="O36" s="15"/>
      <c r="P36" s="15" t="s">
        <v>79</v>
      </c>
      <c r="Q36" s="72">
        <v>2</v>
      </c>
      <c r="R36" s="15" t="s">
        <v>6</v>
      </c>
      <c r="S36" s="15" t="s">
        <v>55</v>
      </c>
      <c r="T36" s="15" t="s">
        <v>125</v>
      </c>
      <c r="U36" s="15" t="s">
        <v>81</v>
      </c>
      <c r="V36" s="15" t="s">
        <v>58</v>
      </c>
      <c r="W36" s="15" t="s">
        <v>126</v>
      </c>
      <c r="X36" s="15" t="s">
        <v>58</v>
      </c>
      <c r="Y36" s="15" t="s">
        <v>60</v>
      </c>
    </row>
    <row r="37" spans="2:25" ht="15" customHeight="1" x14ac:dyDescent="0.2">
      <c r="B37" s="15">
        <v>32</v>
      </c>
      <c r="C37" s="15" t="s">
        <v>46</v>
      </c>
      <c r="D37" s="15" t="s">
        <v>120</v>
      </c>
      <c r="E37" s="15" t="s">
        <v>48</v>
      </c>
      <c r="F37" s="15" t="s">
        <v>48</v>
      </c>
      <c r="G37" s="73">
        <v>4</v>
      </c>
      <c r="H37" s="15" t="s">
        <v>121</v>
      </c>
      <c r="I37" s="15" t="s">
        <v>77</v>
      </c>
      <c r="J37" s="12" t="s">
        <v>67</v>
      </c>
      <c r="K37" s="12" t="s">
        <v>141</v>
      </c>
      <c r="L37" s="15" t="s">
        <v>142</v>
      </c>
      <c r="M37" s="15" t="s">
        <v>114</v>
      </c>
      <c r="N37" s="15"/>
      <c r="O37" s="15"/>
      <c r="P37" s="15" t="s">
        <v>79</v>
      </c>
      <c r="Q37" s="72">
        <v>2</v>
      </c>
      <c r="R37" s="15" t="s">
        <v>6</v>
      </c>
      <c r="S37" s="15" t="s">
        <v>55</v>
      </c>
      <c r="T37" s="15" t="s">
        <v>125</v>
      </c>
      <c r="U37" s="15" t="s">
        <v>81</v>
      </c>
      <c r="V37" s="15" t="s">
        <v>58</v>
      </c>
      <c r="W37" s="15" t="s">
        <v>126</v>
      </c>
      <c r="X37" s="15" t="s">
        <v>58</v>
      </c>
      <c r="Y37" s="15" t="s">
        <v>60</v>
      </c>
    </row>
    <row r="38" spans="2:25" ht="15" customHeight="1" x14ac:dyDescent="0.2">
      <c r="B38" s="15">
        <v>33</v>
      </c>
      <c r="C38" s="15" t="s">
        <v>46</v>
      </c>
      <c r="D38" s="15" t="s">
        <v>120</v>
      </c>
      <c r="E38" s="15" t="s">
        <v>48</v>
      </c>
      <c r="F38" s="15" t="s">
        <v>48</v>
      </c>
      <c r="G38" s="73">
        <v>4</v>
      </c>
      <c r="H38" s="15" t="s">
        <v>121</v>
      </c>
      <c r="I38" s="15" t="s">
        <v>77</v>
      </c>
      <c r="J38" s="12" t="s">
        <v>67</v>
      </c>
      <c r="K38" s="12" t="s">
        <v>143</v>
      </c>
      <c r="L38" s="15" t="s">
        <v>144</v>
      </c>
      <c r="M38" s="15" t="s">
        <v>145</v>
      </c>
      <c r="N38" s="15"/>
      <c r="O38" s="15"/>
      <c r="P38" s="15" t="s">
        <v>79</v>
      </c>
      <c r="Q38" s="72">
        <v>2</v>
      </c>
      <c r="R38" s="15" t="s">
        <v>6</v>
      </c>
      <c r="S38" s="15" t="s">
        <v>55</v>
      </c>
      <c r="T38" s="15" t="s">
        <v>125</v>
      </c>
      <c r="U38" s="15" t="s">
        <v>81</v>
      </c>
      <c r="V38" s="15" t="s">
        <v>58</v>
      </c>
      <c r="W38" s="15" t="s">
        <v>126</v>
      </c>
      <c r="X38" s="15" t="s">
        <v>58</v>
      </c>
      <c r="Y38" s="15" t="s">
        <v>60</v>
      </c>
    </row>
    <row r="39" spans="2:25" ht="15" customHeight="1" x14ac:dyDescent="0.2">
      <c r="B39" s="15">
        <v>34</v>
      </c>
      <c r="C39" s="15" t="s">
        <v>46</v>
      </c>
      <c r="D39" s="15" t="s">
        <v>146</v>
      </c>
      <c r="E39" s="15" t="s">
        <v>48</v>
      </c>
      <c r="F39" s="15" t="s">
        <v>48</v>
      </c>
      <c r="G39" s="73">
        <v>4</v>
      </c>
      <c r="H39" s="15" t="s">
        <v>121</v>
      </c>
      <c r="I39" s="15" t="s">
        <v>77</v>
      </c>
      <c r="J39" s="12" t="s">
        <v>67</v>
      </c>
      <c r="K39" s="12" t="s">
        <v>147</v>
      </c>
      <c r="L39" s="15" t="s">
        <v>148</v>
      </c>
      <c r="M39" s="15"/>
      <c r="N39" s="15"/>
      <c r="O39" s="15"/>
      <c r="P39" s="15" t="s">
        <v>79</v>
      </c>
      <c r="Q39" s="72">
        <v>1</v>
      </c>
      <c r="R39" s="15" t="s">
        <v>6</v>
      </c>
      <c r="S39" s="15" t="s">
        <v>55</v>
      </c>
      <c r="T39" s="15" t="s">
        <v>125</v>
      </c>
      <c r="U39" s="15" t="s">
        <v>81</v>
      </c>
      <c r="V39" s="15" t="s">
        <v>58</v>
      </c>
      <c r="W39" s="15" t="s">
        <v>126</v>
      </c>
      <c r="X39" s="15" t="s">
        <v>58</v>
      </c>
      <c r="Y39" s="15" t="s">
        <v>60</v>
      </c>
    </row>
    <row r="40" spans="2:25" ht="15" customHeight="1" x14ac:dyDescent="0.2">
      <c r="B40" s="15">
        <v>35</v>
      </c>
      <c r="C40" s="15" t="s">
        <v>46</v>
      </c>
      <c r="D40" s="15" t="s">
        <v>146</v>
      </c>
      <c r="E40" s="15" t="s">
        <v>48</v>
      </c>
      <c r="F40" s="15" t="s">
        <v>48</v>
      </c>
      <c r="G40" s="73">
        <v>4</v>
      </c>
      <c r="H40" s="15" t="s">
        <v>121</v>
      </c>
      <c r="I40" s="15" t="s">
        <v>77</v>
      </c>
      <c r="J40" s="12" t="s">
        <v>67</v>
      </c>
      <c r="K40" s="12" t="s">
        <v>149</v>
      </c>
      <c r="L40" s="15" t="s">
        <v>150</v>
      </c>
      <c r="M40" s="15" t="s">
        <v>114</v>
      </c>
      <c r="N40" s="15"/>
      <c r="O40" s="15"/>
      <c r="P40" s="15" t="s">
        <v>79</v>
      </c>
      <c r="Q40" s="72">
        <v>1</v>
      </c>
      <c r="R40" s="15" t="s">
        <v>6</v>
      </c>
      <c r="S40" s="15" t="s">
        <v>55</v>
      </c>
      <c r="T40" s="15" t="s">
        <v>125</v>
      </c>
      <c r="U40" s="15" t="s">
        <v>81</v>
      </c>
      <c r="V40" s="15" t="s">
        <v>58</v>
      </c>
      <c r="W40" s="15" t="s">
        <v>126</v>
      </c>
      <c r="X40" s="15" t="s">
        <v>58</v>
      </c>
      <c r="Y40" s="15" t="s">
        <v>60</v>
      </c>
    </row>
    <row r="41" spans="2:25" ht="15" customHeight="1" x14ac:dyDescent="0.2">
      <c r="B41" s="15">
        <v>36</v>
      </c>
      <c r="C41" s="15" t="s">
        <v>46</v>
      </c>
      <c r="D41" s="15" t="s">
        <v>146</v>
      </c>
      <c r="E41" s="15" t="s">
        <v>48</v>
      </c>
      <c r="F41" s="15" t="s">
        <v>48</v>
      </c>
      <c r="G41" s="73">
        <v>4</v>
      </c>
      <c r="H41" s="15" t="s">
        <v>121</v>
      </c>
      <c r="I41" s="15" t="s">
        <v>77</v>
      </c>
      <c r="J41" s="12" t="s">
        <v>67</v>
      </c>
      <c r="K41" s="12" t="s">
        <v>46</v>
      </c>
      <c r="L41" s="15" t="s">
        <v>151</v>
      </c>
      <c r="M41" s="15" t="s">
        <v>152</v>
      </c>
      <c r="N41" s="15"/>
      <c r="O41" s="15"/>
      <c r="P41" s="15" t="s">
        <v>79</v>
      </c>
      <c r="Q41" s="72">
        <v>4</v>
      </c>
      <c r="R41" s="15" t="s">
        <v>6</v>
      </c>
      <c r="S41" s="15" t="s">
        <v>55</v>
      </c>
      <c r="T41" s="15" t="s">
        <v>125</v>
      </c>
      <c r="U41" s="15" t="s">
        <v>81</v>
      </c>
      <c r="V41" s="15" t="s">
        <v>58</v>
      </c>
      <c r="W41" s="15" t="s">
        <v>126</v>
      </c>
      <c r="X41" s="15" t="s">
        <v>58</v>
      </c>
      <c r="Y41" s="15" t="s">
        <v>60</v>
      </c>
    </row>
    <row r="42" spans="2:25" ht="15" customHeight="1" x14ac:dyDescent="0.2">
      <c r="B42" s="15">
        <v>37</v>
      </c>
      <c r="C42" s="15" t="s">
        <v>46</v>
      </c>
      <c r="D42" s="15" t="s">
        <v>146</v>
      </c>
      <c r="E42" s="15" t="s">
        <v>48</v>
      </c>
      <c r="F42" s="15" t="s">
        <v>48</v>
      </c>
      <c r="G42" s="73">
        <v>4</v>
      </c>
      <c r="H42" s="15" t="s">
        <v>121</v>
      </c>
      <c r="I42" s="15" t="s">
        <v>77</v>
      </c>
      <c r="J42" s="12" t="s">
        <v>67</v>
      </c>
      <c r="K42" s="12" t="s">
        <v>46</v>
      </c>
      <c r="L42" s="15" t="s">
        <v>153</v>
      </c>
      <c r="M42" s="15"/>
      <c r="N42" s="15"/>
      <c r="O42" s="15"/>
      <c r="P42" s="15" t="s">
        <v>79</v>
      </c>
      <c r="Q42" s="72">
        <v>12</v>
      </c>
      <c r="R42" s="15" t="s">
        <v>6</v>
      </c>
      <c r="S42" s="15" t="s">
        <v>55</v>
      </c>
      <c r="T42" s="15" t="s">
        <v>125</v>
      </c>
      <c r="U42" s="15" t="s">
        <v>81</v>
      </c>
      <c r="V42" s="15" t="s">
        <v>58</v>
      </c>
      <c r="W42" s="15" t="s">
        <v>126</v>
      </c>
      <c r="X42" s="15" t="s">
        <v>58</v>
      </c>
      <c r="Y42" s="15" t="s">
        <v>60</v>
      </c>
    </row>
    <row r="43" spans="2:25" ht="15" customHeight="1" x14ac:dyDescent="0.2">
      <c r="B43" s="15">
        <v>38</v>
      </c>
      <c r="C43" s="15" t="s">
        <v>46</v>
      </c>
      <c r="D43" s="15" t="s">
        <v>146</v>
      </c>
      <c r="E43" s="15" t="s">
        <v>48</v>
      </c>
      <c r="F43" s="15" t="s">
        <v>48</v>
      </c>
      <c r="G43" s="73">
        <v>4</v>
      </c>
      <c r="H43" s="15" t="s">
        <v>121</v>
      </c>
      <c r="I43" s="15" t="s">
        <v>77</v>
      </c>
      <c r="J43" s="12" t="s">
        <v>67</v>
      </c>
      <c r="K43" s="12" t="s">
        <v>154</v>
      </c>
      <c r="L43" s="15" t="s">
        <v>155</v>
      </c>
      <c r="M43" s="15"/>
      <c r="N43" s="15"/>
      <c r="O43" s="15"/>
      <c r="P43" s="15" t="s">
        <v>79</v>
      </c>
      <c r="Q43" s="72">
        <v>2</v>
      </c>
      <c r="R43" s="15" t="s">
        <v>6</v>
      </c>
      <c r="S43" s="15" t="s">
        <v>55</v>
      </c>
      <c r="T43" s="15" t="s">
        <v>125</v>
      </c>
      <c r="U43" s="15" t="s">
        <v>81</v>
      </c>
      <c r="V43" s="15" t="s">
        <v>58</v>
      </c>
      <c r="W43" s="15" t="s">
        <v>126</v>
      </c>
      <c r="X43" s="15" t="s">
        <v>58</v>
      </c>
      <c r="Y43" s="15" t="s">
        <v>60</v>
      </c>
    </row>
    <row r="44" spans="2:25" ht="15" customHeight="1" x14ac:dyDescent="0.2">
      <c r="B44" s="15">
        <v>39</v>
      </c>
      <c r="C44" s="15" t="s">
        <v>46</v>
      </c>
      <c r="D44" s="15" t="s">
        <v>146</v>
      </c>
      <c r="E44" s="15" t="s">
        <v>48</v>
      </c>
      <c r="F44" s="15" t="s">
        <v>48</v>
      </c>
      <c r="G44" s="73">
        <v>4</v>
      </c>
      <c r="H44" s="15" t="s">
        <v>121</v>
      </c>
      <c r="I44" s="15" t="s">
        <v>77</v>
      </c>
      <c r="J44" s="12" t="s">
        <v>67</v>
      </c>
      <c r="K44" s="12" t="s">
        <v>156</v>
      </c>
      <c r="L44" s="15" t="s">
        <v>157</v>
      </c>
      <c r="M44" s="15"/>
      <c r="N44" s="15"/>
      <c r="O44" s="15"/>
      <c r="P44" s="15" t="s">
        <v>79</v>
      </c>
      <c r="Q44" s="72">
        <v>2</v>
      </c>
      <c r="R44" s="15" t="s">
        <v>6</v>
      </c>
      <c r="S44" s="15" t="s">
        <v>55</v>
      </c>
      <c r="T44" s="15" t="s">
        <v>125</v>
      </c>
      <c r="U44" s="15" t="s">
        <v>81</v>
      </c>
      <c r="V44" s="15" t="s">
        <v>58</v>
      </c>
      <c r="W44" s="15" t="s">
        <v>126</v>
      </c>
      <c r="X44" s="15" t="s">
        <v>58</v>
      </c>
      <c r="Y44" s="15" t="s">
        <v>60</v>
      </c>
    </row>
    <row r="45" spans="2:25" ht="15" customHeight="1" x14ac:dyDescent="0.2">
      <c r="B45" s="15">
        <v>40</v>
      </c>
      <c r="C45" s="15" t="s">
        <v>46</v>
      </c>
      <c r="D45" s="15" t="s">
        <v>146</v>
      </c>
      <c r="E45" s="15" t="s">
        <v>48</v>
      </c>
      <c r="F45" s="15" t="s">
        <v>48</v>
      </c>
      <c r="G45" s="73">
        <v>4</v>
      </c>
      <c r="H45" s="15" t="s">
        <v>121</v>
      </c>
      <c r="I45" s="15" t="s">
        <v>77</v>
      </c>
      <c r="J45" s="12" t="s">
        <v>67</v>
      </c>
      <c r="K45" s="12" t="s">
        <v>158</v>
      </c>
      <c r="L45" s="15" t="s">
        <v>159</v>
      </c>
      <c r="M45" s="15"/>
      <c r="N45" s="15"/>
      <c r="O45" s="15"/>
      <c r="P45" s="15" t="s">
        <v>79</v>
      </c>
      <c r="Q45" s="72">
        <v>20</v>
      </c>
      <c r="R45" s="15" t="s">
        <v>160</v>
      </c>
      <c r="S45" s="15" t="s">
        <v>55</v>
      </c>
      <c r="T45" s="15" t="s">
        <v>125</v>
      </c>
      <c r="U45" s="15" t="s">
        <v>81</v>
      </c>
      <c r="V45" s="15" t="s">
        <v>58</v>
      </c>
      <c r="W45" s="15" t="s">
        <v>126</v>
      </c>
      <c r="X45" s="15" t="s">
        <v>58</v>
      </c>
      <c r="Y45" s="15" t="s">
        <v>60</v>
      </c>
    </row>
    <row r="46" spans="2:25" ht="15" customHeight="1" x14ac:dyDescent="0.2">
      <c r="B46" s="15">
        <v>41</v>
      </c>
      <c r="C46" s="15" t="s">
        <v>46</v>
      </c>
      <c r="D46" s="15" t="s">
        <v>146</v>
      </c>
      <c r="E46" s="15" t="s">
        <v>48</v>
      </c>
      <c r="F46" s="15" t="s">
        <v>48</v>
      </c>
      <c r="G46" s="73">
        <v>4</v>
      </c>
      <c r="H46" s="15" t="s">
        <v>121</v>
      </c>
      <c r="I46" s="15" t="s">
        <v>77</v>
      </c>
      <c r="J46" s="12" t="s">
        <v>67</v>
      </c>
      <c r="K46" s="12" t="s">
        <v>161</v>
      </c>
      <c r="L46" s="15" t="s">
        <v>162</v>
      </c>
      <c r="M46" s="15" t="s">
        <v>163</v>
      </c>
      <c r="N46" s="15"/>
      <c r="O46" s="15"/>
      <c r="P46" s="15" t="s">
        <v>79</v>
      </c>
      <c r="Q46" s="72">
        <v>27</v>
      </c>
      <c r="R46" s="15" t="s">
        <v>6</v>
      </c>
      <c r="S46" s="15" t="s">
        <v>55</v>
      </c>
      <c r="T46" s="15" t="s">
        <v>125</v>
      </c>
      <c r="U46" s="15" t="s">
        <v>81</v>
      </c>
      <c r="V46" s="15" t="s">
        <v>58</v>
      </c>
      <c r="W46" s="15" t="s">
        <v>126</v>
      </c>
      <c r="X46" s="15" t="s">
        <v>58</v>
      </c>
      <c r="Y46" s="15" t="s">
        <v>60</v>
      </c>
    </row>
    <row r="47" spans="2:25" ht="15" customHeight="1" x14ac:dyDescent="0.2">
      <c r="B47" s="15">
        <v>42</v>
      </c>
      <c r="C47" s="15" t="s">
        <v>46</v>
      </c>
      <c r="D47" s="15" t="s">
        <v>164</v>
      </c>
      <c r="E47" s="15" t="s">
        <v>48</v>
      </c>
      <c r="F47" s="15" t="s">
        <v>165</v>
      </c>
      <c r="G47" s="73">
        <v>4</v>
      </c>
      <c r="H47" s="15" t="s">
        <v>166</v>
      </c>
      <c r="I47" s="15" t="s">
        <v>77</v>
      </c>
      <c r="J47" s="16">
        <v>10173.74</v>
      </c>
      <c r="K47" s="12" t="s">
        <v>46</v>
      </c>
      <c r="L47" s="15" t="s">
        <v>167</v>
      </c>
      <c r="M47" s="15"/>
      <c r="N47" s="15"/>
      <c r="O47" s="15"/>
      <c r="P47" s="15" t="s">
        <v>69</v>
      </c>
      <c r="Q47" s="72">
        <v>2</v>
      </c>
      <c r="R47" s="15" t="s">
        <v>6</v>
      </c>
      <c r="S47" s="15" t="s">
        <v>89</v>
      </c>
      <c r="T47" s="15" t="s">
        <v>56</v>
      </c>
      <c r="U47" s="15" t="s">
        <v>81</v>
      </c>
      <c r="V47" s="15" t="s">
        <v>58</v>
      </c>
      <c r="W47" s="15" t="s">
        <v>168</v>
      </c>
      <c r="X47" s="15" t="s">
        <v>169</v>
      </c>
      <c r="Y47" s="15" t="s">
        <v>60</v>
      </c>
    </row>
    <row r="48" spans="2:25" ht="15" customHeight="1" x14ac:dyDescent="0.2">
      <c r="B48" s="15">
        <v>43</v>
      </c>
      <c r="C48" s="15" t="s">
        <v>46</v>
      </c>
      <c r="D48" s="15" t="s">
        <v>164</v>
      </c>
      <c r="E48" s="15" t="s">
        <v>48</v>
      </c>
      <c r="F48" s="15" t="s">
        <v>165</v>
      </c>
      <c r="G48" s="73">
        <v>4</v>
      </c>
      <c r="H48" s="15" t="s">
        <v>166</v>
      </c>
      <c r="I48" s="15" t="s">
        <v>77</v>
      </c>
      <c r="J48" s="16">
        <v>10173.74</v>
      </c>
      <c r="K48" s="12" t="s">
        <v>46</v>
      </c>
      <c r="L48" s="15" t="s">
        <v>170</v>
      </c>
      <c r="M48" s="15"/>
      <c r="N48" s="15"/>
      <c r="O48" s="15"/>
      <c r="P48" s="15" t="s">
        <v>69</v>
      </c>
      <c r="Q48" s="72">
        <v>2</v>
      </c>
      <c r="R48" s="15" t="s">
        <v>6</v>
      </c>
      <c r="S48" s="15" t="s">
        <v>89</v>
      </c>
      <c r="T48" s="15" t="s">
        <v>56</v>
      </c>
      <c r="U48" s="15" t="s">
        <v>81</v>
      </c>
      <c r="V48" s="15" t="s">
        <v>58</v>
      </c>
      <c r="W48" s="15" t="s">
        <v>168</v>
      </c>
      <c r="X48" s="15" t="s">
        <v>169</v>
      </c>
      <c r="Y48" s="15" t="s">
        <v>60</v>
      </c>
    </row>
    <row r="49" spans="2:25" ht="15" customHeight="1" x14ac:dyDescent="0.2">
      <c r="B49" s="15">
        <v>44</v>
      </c>
      <c r="C49" s="15" t="s">
        <v>46</v>
      </c>
      <c r="D49" s="15" t="s">
        <v>164</v>
      </c>
      <c r="E49" s="15" t="s">
        <v>48</v>
      </c>
      <c r="F49" s="15" t="s">
        <v>165</v>
      </c>
      <c r="G49" s="73">
        <v>4</v>
      </c>
      <c r="H49" s="15" t="s">
        <v>166</v>
      </c>
      <c r="I49" s="15" t="s">
        <v>77</v>
      </c>
      <c r="J49" s="16">
        <v>10173.74</v>
      </c>
      <c r="K49" s="12" t="s">
        <v>46</v>
      </c>
      <c r="L49" s="15" t="s">
        <v>171</v>
      </c>
      <c r="M49" s="15"/>
      <c r="N49" s="15" t="s">
        <v>172</v>
      </c>
      <c r="O49" s="15" t="s">
        <v>173</v>
      </c>
      <c r="P49" s="15" t="s">
        <v>174</v>
      </c>
      <c r="Q49" s="72">
        <v>1</v>
      </c>
      <c r="R49" s="15" t="s">
        <v>6</v>
      </c>
      <c r="S49" s="15" t="s">
        <v>89</v>
      </c>
      <c r="T49" s="15" t="s">
        <v>56</v>
      </c>
      <c r="U49" s="15" t="s">
        <v>81</v>
      </c>
      <c r="V49" s="15" t="s">
        <v>58</v>
      </c>
      <c r="W49" s="15" t="s">
        <v>168</v>
      </c>
      <c r="X49" s="15" t="s">
        <v>169</v>
      </c>
      <c r="Y49" s="15" t="s">
        <v>60</v>
      </c>
    </row>
    <row r="50" spans="2:25" ht="15" customHeight="1" x14ac:dyDescent="0.2">
      <c r="B50" s="15">
        <v>45</v>
      </c>
      <c r="C50" s="15" t="s">
        <v>46</v>
      </c>
      <c r="D50" s="15" t="s">
        <v>164</v>
      </c>
      <c r="E50" s="15" t="s">
        <v>48</v>
      </c>
      <c r="F50" s="15" t="s">
        <v>165</v>
      </c>
      <c r="G50" s="73">
        <v>4</v>
      </c>
      <c r="H50" s="15" t="s">
        <v>166</v>
      </c>
      <c r="I50" s="15" t="s">
        <v>77</v>
      </c>
      <c r="J50" s="16">
        <v>10173.74</v>
      </c>
      <c r="K50" s="12" t="s">
        <v>46</v>
      </c>
      <c r="L50" s="15" t="s">
        <v>175</v>
      </c>
      <c r="M50" s="15"/>
      <c r="N50" s="15" t="s">
        <v>176</v>
      </c>
      <c r="O50" s="15" t="s">
        <v>177</v>
      </c>
      <c r="P50" s="15" t="s">
        <v>69</v>
      </c>
      <c r="Q50" s="72">
        <v>1</v>
      </c>
      <c r="R50" s="15" t="s">
        <v>6</v>
      </c>
      <c r="S50" s="15" t="s">
        <v>89</v>
      </c>
      <c r="T50" s="15" t="s">
        <v>56</v>
      </c>
      <c r="U50" s="15" t="s">
        <v>81</v>
      </c>
      <c r="V50" s="15" t="s">
        <v>58</v>
      </c>
      <c r="W50" s="15" t="s">
        <v>168</v>
      </c>
      <c r="X50" s="15" t="s">
        <v>169</v>
      </c>
      <c r="Y50" s="15" t="s">
        <v>60</v>
      </c>
    </row>
    <row r="51" spans="2:25" ht="15" customHeight="1" x14ac:dyDescent="0.2">
      <c r="B51" s="15">
        <v>46</v>
      </c>
      <c r="C51" s="15" t="s">
        <v>46</v>
      </c>
      <c r="D51" s="15" t="s">
        <v>164</v>
      </c>
      <c r="E51" s="15" t="s">
        <v>48</v>
      </c>
      <c r="F51" s="15" t="s">
        <v>165</v>
      </c>
      <c r="G51" s="73">
        <v>4</v>
      </c>
      <c r="H51" s="15" t="s">
        <v>166</v>
      </c>
      <c r="I51" s="15" t="s">
        <v>77</v>
      </c>
      <c r="J51" s="16">
        <v>10173.74</v>
      </c>
      <c r="K51" s="12" t="s">
        <v>178</v>
      </c>
      <c r="L51" s="15" t="s">
        <v>179</v>
      </c>
      <c r="M51" s="15"/>
      <c r="N51" s="15"/>
      <c r="O51" s="15"/>
      <c r="P51" s="15" t="s">
        <v>69</v>
      </c>
      <c r="Q51" s="72">
        <v>1</v>
      </c>
      <c r="R51" s="15" t="s">
        <v>180</v>
      </c>
      <c r="S51" s="15" t="s">
        <v>89</v>
      </c>
      <c r="T51" s="15" t="s">
        <v>56</v>
      </c>
      <c r="U51" s="15" t="s">
        <v>81</v>
      </c>
      <c r="V51" s="15" t="s">
        <v>58</v>
      </c>
      <c r="W51" s="15" t="s">
        <v>168</v>
      </c>
      <c r="X51" s="15" t="s">
        <v>169</v>
      </c>
      <c r="Y51" s="15" t="s">
        <v>60</v>
      </c>
    </row>
    <row r="52" spans="2:25" ht="15" customHeight="1" x14ac:dyDescent="0.2">
      <c r="B52" s="15">
        <v>47</v>
      </c>
      <c r="C52" s="15" t="s">
        <v>46</v>
      </c>
      <c r="D52" s="15" t="s">
        <v>181</v>
      </c>
      <c r="E52" s="15" t="s">
        <v>48</v>
      </c>
      <c r="F52" s="15" t="s">
        <v>48</v>
      </c>
      <c r="G52" s="73">
        <v>4</v>
      </c>
      <c r="H52" s="15" t="s">
        <v>166</v>
      </c>
      <c r="I52" s="15" t="s">
        <v>77</v>
      </c>
      <c r="J52" s="12" t="s">
        <v>182</v>
      </c>
      <c r="K52" s="12" t="s">
        <v>183</v>
      </c>
      <c r="L52" s="15" t="s">
        <v>184</v>
      </c>
      <c r="M52" s="15"/>
      <c r="N52" s="15"/>
      <c r="O52" s="15"/>
      <c r="P52" s="15" t="s">
        <v>185</v>
      </c>
      <c r="Q52" s="72">
        <v>412.5</v>
      </c>
      <c r="R52" s="15" t="s">
        <v>186</v>
      </c>
      <c r="S52" s="15" t="s">
        <v>55</v>
      </c>
      <c r="T52" s="15" t="s">
        <v>56</v>
      </c>
      <c r="U52" s="15" t="s">
        <v>81</v>
      </c>
      <c r="V52" s="15" t="s">
        <v>58</v>
      </c>
      <c r="W52" s="15" t="s">
        <v>187</v>
      </c>
      <c r="X52" s="15" t="s">
        <v>58</v>
      </c>
      <c r="Y52" s="15" t="s">
        <v>60</v>
      </c>
    </row>
    <row r="53" spans="2:25" ht="15" customHeight="1" x14ac:dyDescent="0.2">
      <c r="B53" s="15">
        <v>48</v>
      </c>
      <c r="C53" s="15" t="s">
        <v>46</v>
      </c>
      <c r="D53" s="15" t="s">
        <v>181</v>
      </c>
      <c r="E53" s="15" t="s">
        <v>48</v>
      </c>
      <c r="F53" s="15" t="s">
        <v>48</v>
      </c>
      <c r="G53" s="73">
        <v>4</v>
      </c>
      <c r="H53" s="15" t="s">
        <v>166</v>
      </c>
      <c r="I53" s="15" t="s">
        <v>77</v>
      </c>
      <c r="J53" s="12" t="s">
        <v>182</v>
      </c>
      <c r="K53" s="12" t="s">
        <v>188</v>
      </c>
      <c r="L53" s="15" t="s">
        <v>830</v>
      </c>
      <c r="M53" s="15"/>
      <c r="N53" s="15"/>
      <c r="O53" s="15"/>
      <c r="P53" s="15" t="s">
        <v>185</v>
      </c>
      <c r="Q53" s="72">
        <v>2060.5</v>
      </c>
      <c r="R53" s="15" t="s">
        <v>186</v>
      </c>
      <c r="S53" s="15" t="s">
        <v>55</v>
      </c>
      <c r="T53" s="15" t="s">
        <v>56</v>
      </c>
      <c r="U53" s="15" t="s">
        <v>81</v>
      </c>
      <c r="V53" s="15" t="s">
        <v>58</v>
      </c>
      <c r="W53" s="15" t="s">
        <v>187</v>
      </c>
      <c r="X53" s="15" t="s">
        <v>58</v>
      </c>
      <c r="Y53" s="15" t="s">
        <v>60</v>
      </c>
    </row>
    <row r="54" spans="2:25" ht="15" customHeight="1" x14ac:dyDescent="0.2">
      <c r="B54" s="15">
        <v>49</v>
      </c>
      <c r="C54" s="15" t="s">
        <v>46</v>
      </c>
      <c r="D54" s="15" t="s">
        <v>181</v>
      </c>
      <c r="E54" s="15" t="s">
        <v>48</v>
      </c>
      <c r="F54" s="15" t="s">
        <v>48</v>
      </c>
      <c r="G54" s="73">
        <v>4</v>
      </c>
      <c r="H54" s="15" t="s">
        <v>166</v>
      </c>
      <c r="I54" s="15" t="s">
        <v>77</v>
      </c>
      <c r="J54" s="12" t="s">
        <v>182</v>
      </c>
      <c r="K54" s="12" t="s">
        <v>189</v>
      </c>
      <c r="L54" s="15" t="s">
        <v>190</v>
      </c>
      <c r="M54" s="15"/>
      <c r="N54" s="15"/>
      <c r="O54" s="15"/>
      <c r="P54" s="15" t="s">
        <v>185</v>
      </c>
      <c r="Q54" s="72">
        <v>415.5</v>
      </c>
      <c r="R54" s="15" t="s">
        <v>186</v>
      </c>
      <c r="S54" s="15" t="s">
        <v>55</v>
      </c>
      <c r="T54" s="15" t="s">
        <v>56</v>
      </c>
      <c r="U54" s="15" t="s">
        <v>81</v>
      </c>
      <c r="V54" s="15" t="s">
        <v>58</v>
      </c>
      <c r="W54" s="15" t="s">
        <v>187</v>
      </c>
      <c r="X54" s="15" t="s">
        <v>58</v>
      </c>
      <c r="Y54" s="15" t="s">
        <v>60</v>
      </c>
    </row>
    <row r="55" spans="2:25" ht="15" customHeight="1" x14ac:dyDescent="0.2">
      <c r="B55" s="15">
        <v>50</v>
      </c>
      <c r="C55" s="15" t="s">
        <v>46</v>
      </c>
      <c r="D55" s="15" t="s">
        <v>181</v>
      </c>
      <c r="E55" s="15" t="s">
        <v>48</v>
      </c>
      <c r="F55" s="15" t="s">
        <v>48</v>
      </c>
      <c r="G55" s="73">
        <v>4</v>
      </c>
      <c r="H55" s="15" t="s">
        <v>166</v>
      </c>
      <c r="I55" s="15" t="s">
        <v>77</v>
      </c>
      <c r="J55" s="12" t="s">
        <v>182</v>
      </c>
      <c r="K55" s="12" t="s">
        <v>191</v>
      </c>
      <c r="L55" s="15" t="s">
        <v>788</v>
      </c>
      <c r="M55" s="15"/>
      <c r="N55" s="15"/>
      <c r="O55" s="15"/>
      <c r="P55" s="15" t="s">
        <v>185</v>
      </c>
      <c r="Q55" s="72">
        <v>200</v>
      </c>
      <c r="R55" s="15" t="s">
        <v>186</v>
      </c>
      <c r="S55" s="15" t="s">
        <v>55</v>
      </c>
      <c r="T55" s="15" t="s">
        <v>56</v>
      </c>
      <c r="U55" s="15" t="s">
        <v>81</v>
      </c>
      <c r="V55" s="15" t="s">
        <v>58</v>
      </c>
      <c r="W55" s="15" t="s">
        <v>187</v>
      </c>
      <c r="X55" s="15" t="s">
        <v>58</v>
      </c>
      <c r="Y55" s="15" t="s">
        <v>60</v>
      </c>
    </row>
    <row r="56" spans="2:25" ht="15" customHeight="1" x14ac:dyDescent="0.2">
      <c r="B56" s="15">
        <v>51</v>
      </c>
      <c r="C56" s="15" t="s">
        <v>46</v>
      </c>
      <c r="D56" s="15" t="s">
        <v>181</v>
      </c>
      <c r="E56" s="15" t="s">
        <v>48</v>
      </c>
      <c r="F56" s="15" t="s">
        <v>48</v>
      </c>
      <c r="G56" s="73">
        <v>4</v>
      </c>
      <c r="H56" s="15" t="s">
        <v>166</v>
      </c>
      <c r="I56" s="15" t="s">
        <v>77</v>
      </c>
      <c r="J56" s="12" t="s">
        <v>182</v>
      </c>
      <c r="K56" s="12" t="s">
        <v>147</v>
      </c>
      <c r="L56" s="15" t="s">
        <v>148</v>
      </c>
      <c r="M56" s="15" t="s">
        <v>134</v>
      </c>
      <c r="N56" s="15"/>
      <c r="O56" s="15"/>
      <c r="P56" s="15" t="s">
        <v>79</v>
      </c>
      <c r="Q56" s="72">
        <v>1</v>
      </c>
      <c r="R56" s="15" t="s">
        <v>6</v>
      </c>
      <c r="S56" s="15" t="s">
        <v>55</v>
      </c>
      <c r="T56" s="15" t="s">
        <v>56</v>
      </c>
      <c r="U56" s="15" t="s">
        <v>81</v>
      </c>
      <c r="V56" s="15" t="s">
        <v>58</v>
      </c>
      <c r="W56" s="15" t="s">
        <v>187</v>
      </c>
      <c r="X56" s="15" t="s">
        <v>58</v>
      </c>
      <c r="Y56" s="15" t="s">
        <v>60</v>
      </c>
    </row>
    <row r="57" spans="2:25" ht="15" customHeight="1" x14ac:dyDescent="0.2">
      <c r="B57" s="15">
        <v>52</v>
      </c>
      <c r="C57" s="15" t="s">
        <v>46</v>
      </c>
      <c r="D57" s="15" t="s">
        <v>181</v>
      </c>
      <c r="E57" s="15" t="s">
        <v>48</v>
      </c>
      <c r="F57" s="15" t="s">
        <v>48</v>
      </c>
      <c r="G57" s="73">
        <v>4</v>
      </c>
      <c r="H57" s="15" t="s">
        <v>166</v>
      </c>
      <c r="I57" s="15" t="s">
        <v>77</v>
      </c>
      <c r="J57" s="12" t="s">
        <v>182</v>
      </c>
      <c r="K57" s="12" t="s">
        <v>46</v>
      </c>
      <c r="L57" s="15" t="s">
        <v>192</v>
      </c>
      <c r="M57" s="15" t="s">
        <v>193</v>
      </c>
      <c r="N57" s="15"/>
      <c r="O57" s="15"/>
      <c r="P57" s="15" t="s">
        <v>79</v>
      </c>
      <c r="Q57" s="72">
        <v>1</v>
      </c>
      <c r="R57" s="15" t="s">
        <v>6</v>
      </c>
      <c r="S57" s="15" t="s">
        <v>55</v>
      </c>
      <c r="T57" s="15" t="s">
        <v>56</v>
      </c>
      <c r="U57" s="15" t="s">
        <v>81</v>
      </c>
      <c r="V57" s="15" t="s">
        <v>58</v>
      </c>
      <c r="W57" s="15" t="s">
        <v>187</v>
      </c>
      <c r="X57" s="15" t="s">
        <v>58</v>
      </c>
      <c r="Y57" s="15" t="s">
        <v>60</v>
      </c>
    </row>
    <row r="58" spans="2:25" ht="15" customHeight="1" x14ac:dyDescent="0.2">
      <c r="B58" s="15">
        <v>53</v>
      </c>
      <c r="C58" s="15" t="s">
        <v>46</v>
      </c>
      <c r="D58" s="15" t="s">
        <v>181</v>
      </c>
      <c r="E58" s="15" t="s">
        <v>48</v>
      </c>
      <c r="F58" s="15" t="s">
        <v>48</v>
      </c>
      <c r="G58" s="73">
        <v>4</v>
      </c>
      <c r="H58" s="15" t="s">
        <v>166</v>
      </c>
      <c r="I58" s="15" t="s">
        <v>77</v>
      </c>
      <c r="J58" s="12" t="s">
        <v>182</v>
      </c>
      <c r="K58" s="12" t="s">
        <v>194</v>
      </c>
      <c r="L58" s="15" t="s">
        <v>195</v>
      </c>
      <c r="M58" s="15" t="s">
        <v>196</v>
      </c>
      <c r="N58" s="15"/>
      <c r="O58" s="15"/>
      <c r="P58" s="15" t="s">
        <v>79</v>
      </c>
      <c r="Q58" s="72">
        <v>10</v>
      </c>
      <c r="R58" s="15" t="s">
        <v>6</v>
      </c>
      <c r="S58" s="15" t="s">
        <v>55</v>
      </c>
      <c r="T58" s="15" t="s">
        <v>56</v>
      </c>
      <c r="U58" s="15" t="s">
        <v>81</v>
      </c>
      <c r="V58" s="15" t="s">
        <v>58</v>
      </c>
      <c r="W58" s="15" t="s">
        <v>187</v>
      </c>
      <c r="X58" s="15" t="s">
        <v>58</v>
      </c>
      <c r="Y58" s="15" t="s">
        <v>60</v>
      </c>
    </row>
    <row r="59" spans="2:25" ht="15" customHeight="1" x14ac:dyDescent="0.2">
      <c r="B59" s="15">
        <v>54</v>
      </c>
      <c r="C59" s="15" t="s">
        <v>46</v>
      </c>
      <c r="D59" s="15" t="s">
        <v>197</v>
      </c>
      <c r="E59" s="15" t="s">
        <v>48</v>
      </c>
      <c r="F59" s="15" t="s">
        <v>48</v>
      </c>
      <c r="G59" s="73">
        <v>4</v>
      </c>
      <c r="H59" s="15" t="s">
        <v>166</v>
      </c>
      <c r="I59" s="15" t="s">
        <v>77</v>
      </c>
      <c r="J59" s="12" t="s">
        <v>182</v>
      </c>
      <c r="K59" s="12" t="s">
        <v>46</v>
      </c>
      <c r="L59" s="15" t="s">
        <v>198</v>
      </c>
      <c r="M59" s="15"/>
      <c r="N59" s="15"/>
      <c r="O59" s="15"/>
      <c r="P59" s="15" t="s">
        <v>79</v>
      </c>
      <c r="Q59" s="72">
        <v>2</v>
      </c>
      <c r="R59" s="15" t="s">
        <v>199</v>
      </c>
      <c r="S59" s="15" t="s">
        <v>55</v>
      </c>
      <c r="T59" s="15" t="s">
        <v>56</v>
      </c>
      <c r="U59" s="15" t="s">
        <v>81</v>
      </c>
      <c r="V59" s="15" t="s">
        <v>58</v>
      </c>
      <c r="W59" s="15" t="s">
        <v>187</v>
      </c>
      <c r="X59" s="15" t="s">
        <v>58</v>
      </c>
      <c r="Y59" s="15" t="s">
        <v>60</v>
      </c>
    </row>
    <row r="60" spans="2:25" ht="15" customHeight="1" x14ac:dyDescent="0.2">
      <c r="B60" s="15">
        <v>55</v>
      </c>
      <c r="C60" s="15" t="s">
        <v>46</v>
      </c>
      <c r="D60" s="15" t="s">
        <v>197</v>
      </c>
      <c r="E60" s="15" t="s">
        <v>48</v>
      </c>
      <c r="F60" s="15" t="s">
        <v>48</v>
      </c>
      <c r="G60" s="73">
        <v>4</v>
      </c>
      <c r="H60" s="15" t="s">
        <v>166</v>
      </c>
      <c r="I60" s="15" t="s">
        <v>77</v>
      </c>
      <c r="J60" s="12" t="s">
        <v>182</v>
      </c>
      <c r="K60" s="12" t="s">
        <v>46</v>
      </c>
      <c r="L60" s="15" t="s">
        <v>200</v>
      </c>
      <c r="M60" s="15"/>
      <c r="N60" s="15"/>
      <c r="O60" s="15"/>
      <c r="P60" s="15" t="s">
        <v>79</v>
      </c>
      <c r="Q60" s="72">
        <v>2</v>
      </c>
      <c r="R60" s="15" t="s">
        <v>199</v>
      </c>
      <c r="S60" s="15" t="s">
        <v>55</v>
      </c>
      <c r="T60" s="15" t="s">
        <v>56</v>
      </c>
      <c r="U60" s="15" t="s">
        <v>81</v>
      </c>
      <c r="V60" s="15" t="s">
        <v>58</v>
      </c>
      <c r="W60" s="15" t="s">
        <v>187</v>
      </c>
      <c r="X60" s="15" t="s">
        <v>58</v>
      </c>
      <c r="Y60" s="15" t="s">
        <v>60</v>
      </c>
    </row>
    <row r="61" spans="2:25" ht="15" customHeight="1" x14ac:dyDescent="0.2">
      <c r="B61" s="15">
        <v>56</v>
      </c>
      <c r="C61" s="15" t="s">
        <v>46</v>
      </c>
      <c r="D61" s="15" t="s">
        <v>201</v>
      </c>
      <c r="E61" s="15" t="s">
        <v>48</v>
      </c>
      <c r="F61" s="15" t="s">
        <v>48</v>
      </c>
      <c r="G61" s="73">
        <v>1</v>
      </c>
      <c r="H61" s="15" t="s">
        <v>202</v>
      </c>
      <c r="I61" s="15" t="s">
        <v>203</v>
      </c>
      <c r="J61" s="12" t="s">
        <v>204</v>
      </c>
      <c r="K61" s="12" t="s">
        <v>46</v>
      </c>
      <c r="L61" s="15" t="s">
        <v>205</v>
      </c>
      <c r="M61" s="15"/>
      <c r="N61" s="15"/>
      <c r="O61" s="15"/>
      <c r="P61" s="15" t="s">
        <v>174</v>
      </c>
      <c r="Q61" s="72">
        <v>1</v>
      </c>
      <c r="R61" s="15" t="s">
        <v>11</v>
      </c>
      <c r="S61" s="15" t="s">
        <v>80</v>
      </c>
      <c r="T61" s="15" t="s">
        <v>206</v>
      </c>
      <c r="U61" s="15" t="s">
        <v>207</v>
      </c>
      <c r="V61" s="15" t="s">
        <v>58</v>
      </c>
      <c r="W61" s="15" t="s">
        <v>208</v>
      </c>
      <c r="X61" s="15" t="s">
        <v>58</v>
      </c>
      <c r="Y61" s="15" t="s">
        <v>60</v>
      </c>
    </row>
    <row r="62" spans="2:25" ht="15" customHeight="1" x14ac:dyDescent="0.2">
      <c r="B62" s="15">
        <v>57</v>
      </c>
      <c r="C62" s="15" t="s">
        <v>46</v>
      </c>
      <c r="D62" s="15" t="s">
        <v>209</v>
      </c>
      <c r="E62" s="15" t="s">
        <v>48</v>
      </c>
      <c r="F62" s="15" t="s">
        <v>48</v>
      </c>
      <c r="G62" s="73">
        <v>1</v>
      </c>
      <c r="H62" s="15" t="s">
        <v>210</v>
      </c>
      <c r="I62" s="15" t="s">
        <v>203</v>
      </c>
      <c r="J62" s="12" t="s">
        <v>211</v>
      </c>
      <c r="K62" s="12" t="s">
        <v>212</v>
      </c>
      <c r="L62" s="15" t="s">
        <v>780</v>
      </c>
      <c r="M62" s="15" t="s">
        <v>213</v>
      </c>
      <c r="N62" s="15"/>
      <c r="O62" s="15"/>
      <c r="P62" s="15" t="s">
        <v>79</v>
      </c>
      <c r="Q62" s="72">
        <v>8</v>
      </c>
      <c r="R62" s="15" t="s">
        <v>6</v>
      </c>
      <c r="S62" s="15" t="s">
        <v>55</v>
      </c>
      <c r="T62" s="15" t="s">
        <v>56</v>
      </c>
      <c r="U62" s="15" t="s">
        <v>81</v>
      </c>
      <c r="V62" s="15" t="s">
        <v>58</v>
      </c>
      <c r="W62" s="15" t="s">
        <v>214</v>
      </c>
      <c r="X62" s="15" t="s">
        <v>58</v>
      </c>
      <c r="Y62" s="15" t="s">
        <v>60</v>
      </c>
    </row>
    <row r="63" spans="2:25" ht="15" customHeight="1" x14ac:dyDescent="0.2">
      <c r="B63" s="15">
        <v>58</v>
      </c>
      <c r="C63" s="15" t="s">
        <v>46</v>
      </c>
      <c r="D63" s="15" t="s">
        <v>209</v>
      </c>
      <c r="E63" s="15" t="s">
        <v>48</v>
      </c>
      <c r="F63" s="15" t="s">
        <v>48</v>
      </c>
      <c r="G63" s="73">
        <v>1</v>
      </c>
      <c r="H63" s="15" t="s">
        <v>210</v>
      </c>
      <c r="I63" s="15" t="s">
        <v>203</v>
      </c>
      <c r="J63" s="12" t="s">
        <v>211</v>
      </c>
      <c r="K63" s="12" t="s">
        <v>46</v>
      </c>
      <c r="L63" s="15" t="s">
        <v>215</v>
      </c>
      <c r="M63" s="15" t="s">
        <v>213</v>
      </c>
      <c r="N63" s="15"/>
      <c r="O63" s="15"/>
      <c r="P63" s="15" t="s">
        <v>79</v>
      </c>
      <c r="Q63" s="72">
        <v>2</v>
      </c>
      <c r="R63" s="15" t="s">
        <v>6</v>
      </c>
      <c r="S63" s="15" t="s">
        <v>55</v>
      </c>
      <c r="T63" s="15" t="s">
        <v>56</v>
      </c>
      <c r="U63" s="15" t="s">
        <v>81</v>
      </c>
      <c r="V63" s="15" t="s">
        <v>58</v>
      </c>
      <c r="W63" s="15" t="s">
        <v>214</v>
      </c>
      <c r="X63" s="15" t="s">
        <v>58</v>
      </c>
      <c r="Y63" s="15" t="s">
        <v>60</v>
      </c>
    </row>
    <row r="64" spans="2:25" ht="15" customHeight="1" x14ac:dyDescent="0.2">
      <c r="B64" s="15">
        <v>59</v>
      </c>
      <c r="C64" s="15" t="s">
        <v>46</v>
      </c>
      <c r="D64" s="15" t="s">
        <v>209</v>
      </c>
      <c r="E64" s="15" t="s">
        <v>48</v>
      </c>
      <c r="F64" s="15" t="s">
        <v>48</v>
      </c>
      <c r="G64" s="73">
        <v>1</v>
      </c>
      <c r="H64" s="15" t="s">
        <v>210</v>
      </c>
      <c r="I64" s="15" t="s">
        <v>203</v>
      </c>
      <c r="J64" s="12" t="s">
        <v>211</v>
      </c>
      <c r="K64" s="12" t="s">
        <v>216</v>
      </c>
      <c r="L64" s="15" t="s">
        <v>781</v>
      </c>
      <c r="M64" s="15" t="s">
        <v>213</v>
      </c>
      <c r="N64" s="15"/>
      <c r="O64" s="15"/>
      <c r="P64" s="15" t="s">
        <v>79</v>
      </c>
      <c r="Q64" s="72">
        <v>2</v>
      </c>
      <c r="R64" s="15" t="s">
        <v>6</v>
      </c>
      <c r="S64" s="15" t="s">
        <v>55</v>
      </c>
      <c r="T64" s="15" t="s">
        <v>56</v>
      </c>
      <c r="U64" s="15" t="s">
        <v>81</v>
      </c>
      <c r="V64" s="15" t="s">
        <v>58</v>
      </c>
      <c r="W64" s="15" t="s">
        <v>214</v>
      </c>
      <c r="X64" s="15" t="s">
        <v>58</v>
      </c>
      <c r="Y64" s="15" t="s">
        <v>60</v>
      </c>
    </row>
    <row r="65" spans="2:25" ht="15" customHeight="1" x14ac:dyDescent="0.2">
      <c r="B65" s="15">
        <v>60</v>
      </c>
      <c r="C65" s="15" t="s">
        <v>46</v>
      </c>
      <c r="D65" s="15" t="s">
        <v>209</v>
      </c>
      <c r="E65" s="15" t="s">
        <v>48</v>
      </c>
      <c r="F65" s="15" t="s">
        <v>48</v>
      </c>
      <c r="G65" s="73">
        <v>1</v>
      </c>
      <c r="H65" s="15" t="s">
        <v>210</v>
      </c>
      <c r="I65" s="15" t="s">
        <v>203</v>
      </c>
      <c r="J65" s="12" t="s">
        <v>211</v>
      </c>
      <c r="K65" s="12" t="s">
        <v>46</v>
      </c>
      <c r="L65" s="15" t="s">
        <v>861</v>
      </c>
      <c r="M65" s="15" t="s">
        <v>217</v>
      </c>
      <c r="N65" s="15"/>
      <c r="O65" s="15"/>
      <c r="P65" s="15" t="s">
        <v>79</v>
      </c>
      <c r="Q65" s="72">
        <v>2</v>
      </c>
      <c r="R65" s="15" t="s">
        <v>6</v>
      </c>
      <c r="S65" s="15" t="s">
        <v>55</v>
      </c>
      <c r="T65" s="15" t="s">
        <v>56</v>
      </c>
      <c r="U65" s="15" t="s">
        <v>81</v>
      </c>
      <c r="V65" s="15" t="s">
        <v>58</v>
      </c>
      <c r="W65" s="15" t="s">
        <v>214</v>
      </c>
      <c r="X65" s="15" t="s">
        <v>58</v>
      </c>
      <c r="Y65" s="15" t="s">
        <v>60</v>
      </c>
    </row>
    <row r="66" spans="2:25" ht="15" customHeight="1" x14ac:dyDescent="0.2">
      <c r="B66" s="15">
        <v>61</v>
      </c>
      <c r="C66" s="15" t="s">
        <v>46</v>
      </c>
      <c r="D66" s="15" t="s">
        <v>209</v>
      </c>
      <c r="E66" s="15" t="s">
        <v>48</v>
      </c>
      <c r="F66" s="15" t="s">
        <v>48</v>
      </c>
      <c r="G66" s="73">
        <v>1</v>
      </c>
      <c r="H66" s="15" t="s">
        <v>210</v>
      </c>
      <c r="I66" s="15" t="s">
        <v>203</v>
      </c>
      <c r="J66" s="12" t="s">
        <v>211</v>
      </c>
      <c r="K66" s="12" t="s">
        <v>218</v>
      </c>
      <c r="L66" s="15" t="s">
        <v>859</v>
      </c>
      <c r="M66" s="15" t="s">
        <v>219</v>
      </c>
      <c r="N66" s="15"/>
      <c r="O66" s="15"/>
      <c r="P66" s="15" t="s">
        <v>79</v>
      </c>
      <c r="Q66" s="72">
        <v>2</v>
      </c>
      <c r="R66" s="15" t="s">
        <v>6</v>
      </c>
      <c r="S66" s="15" t="s">
        <v>55</v>
      </c>
      <c r="T66" s="15" t="s">
        <v>56</v>
      </c>
      <c r="U66" s="15" t="s">
        <v>81</v>
      </c>
      <c r="V66" s="15" t="s">
        <v>58</v>
      </c>
      <c r="W66" s="15" t="s">
        <v>214</v>
      </c>
      <c r="X66" s="15" t="s">
        <v>58</v>
      </c>
      <c r="Y66" s="15" t="s">
        <v>60</v>
      </c>
    </row>
    <row r="67" spans="2:25" ht="15" customHeight="1" x14ac:dyDescent="0.2">
      <c r="B67" s="15">
        <v>62</v>
      </c>
      <c r="C67" s="15" t="s">
        <v>46</v>
      </c>
      <c r="D67" s="15" t="s">
        <v>209</v>
      </c>
      <c r="E67" s="15" t="s">
        <v>48</v>
      </c>
      <c r="F67" s="15" t="s">
        <v>48</v>
      </c>
      <c r="G67" s="73">
        <v>1</v>
      </c>
      <c r="H67" s="15" t="s">
        <v>210</v>
      </c>
      <c r="I67" s="15" t="s">
        <v>203</v>
      </c>
      <c r="J67" s="12" t="s">
        <v>211</v>
      </c>
      <c r="K67" s="12" t="s">
        <v>218</v>
      </c>
      <c r="L67" s="15" t="s">
        <v>860</v>
      </c>
      <c r="M67" s="15" t="s">
        <v>220</v>
      </c>
      <c r="N67" s="15"/>
      <c r="O67" s="15"/>
      <c r="P67" s="15" t="s">
        <v>79</v>
      </c>
      <c r="Q67" s="72">
        <v>2</v>
      </c>
      <c r="R67" s="15" t="s">
        <v>6</v>
      </c>
      <c r="S67" s="15" t="s">
        <v>55</v>
      </c>
      <c r="T67" s="15" t="s">
        <v>56</v>
      </c>
      <c r="U67" s="15" t="s">
        <v>81</v>
      </c>
      <c r="V67" s="15" t="s">
        <v>58</v>
      </c>
      <c r="W67" s="15" t="s">
        <v>214</v>
      </c>
      <c r="X67" s="15" t="s">
        <v>58</v>
      </c>
      <c r="Y67" s="15" t="s">
        <v>60</v>
      </c>
    </row>
    <row r="68" spans="2:25" ht="15" customHeight="1" x14ac:dyDescent="0.2">
      <c r="B68" s="15">
        <v>63</v>
      </c>
      <c r="C68" s="15" t="s">
        <v>46</v>
      </c>
      <c r="D68" s="15" t="s">
        <v>221</v>
      </c>
      <c r="E68" s="15" t="s">
        <v>48</v>
      </c>
      <c r="F68" s="15" t="s">
        <v>48</v>
      </c>
      <c r="G68" s="73">
        <v>1</v>
      </c>
      <c r="H68" s="15" t="s">
        <v>210</v>
      </c>
      <c r="I68" s="15" t="s">
        <v>203</v>
      </c>
      <c r="J68" s="12" t="s">
        <v>211</v>
      </c>
      <c r="K68" s="12" t="s">
        <v>46</v>
      </c>
      <c r="L68" s="15" t="s">
        <v>866</v>
      </c>
      <c r="M68" s="15" t="s">
        <v>222</v>
      </c>
      <c r="N68" s="15"/>
      <c r="O68" s="15"/>
      <c r="P68" s="15" t="s">
        <v>79</v>
      </c>
      <c r="Q68" s="72">
        <v>4</v>
      </c>
      <c r="R68" s="15" t="s">
        <v>6</v>
      </c>
      <c r="S68" s="15" t="s">
        <v>55</v>
      </c>
      <c r="T68" s="15" t="s">
        <v>56</v>
      </c>
      <c r="U68" s="15" t="s">
        <v>81</v>
      </c>
      <c r="V68" s="15" t="s">
        <v>58</v>
      </c>
      <c r="W68" s="15" t="s">
        <v>214</v>
      </c>
      <c r="X68" s="15" t="s">
        <v>58</v>
      </c>
      <c r="Y68" s="15" t="s">
        <v>60</v>
      </c>
    </row>
    <row r="69" spans="2:25" ht="15" customHeight="1" x14ac:dyDescent="0.2">
      <c r="B69" s="15">
        <v>64</v>
      </c>
      <c r="C69" s="15" t="s">
        <v>46</v>
      </c>
      <c r="D69" s="15" t="s">
        <v>223</v>
      </c>
      <c r="E69" s="15" t="s">
        <v>48</v>
      </c>
      <c r="F69" s="15" t="s">
        <v>48</v>
      </c>
      <c r="G69" s="73">
        <v>1</v>
      </c>
      <c r="H69" s="15" t="s">
        <v>224</v>
      </c>
      <c r="I69" s="15" t="s">
        <v>203</v>
      </c>
      <c r="J69" s="12" t="s">
        <v>225</v>
      </c>
      <c r="K69" s="12" t="s">
        <v>46</v>
      </c>
      <c r="L69" s="15" t="s">
        <v>226</v>
      </c>
      <c r="M69" s="15"/>
      <c r="N69" s="15"/>
      <c r="O69" s="15"/>
      <c r="P69" s="15" t="s">
        <v>79</v>
      </c>
      <c r="Q69" s="72">
        <v>2</v>
      </c>
      <c r="R69" s="15" t="s">
        <v>6</v>
      </c>
      <c r="S69" s="15" t="s">
        <v>55</v>
      </c>
      <c r="T69" s="15" t="s">
        <v>56</v>
      </c>
      <c r="U69" s="15" t="s">
        <v>81</v>
      </c>
      <c r="V69" s="15" t="s">
        <v>58</v>
      </c>
      <c r="W69" s="15" t="s">
        <v>227</v>
      </c>
      <c r="X69" s="15" t="s">
        <v>58</v>
      </c>
      <c r="Y69" s="15" t="s">
        <v>60</v>
      </c>
    </row>
    <row r="70" spans="2:25" ht="15" customHeight="1" x14ac:dyDescent="0.2">
      <c r="B70" s="15">
        <v>65</v>
      </c>
      <c r="C70" s="15" t="s">
        <v>46</v>
      </c>
      <c r="D70" s="15" t="s">
        <v>223</v>
      </c>
      <c r="E70" s="15" t="s">
        <v>48</v>
      </c>
      <c r="F70" s="15" t="s">
        <v>48</v>
      </c>
      <c r="G70" s="73">
        <v>1</v>
      </c>
      <c r="H70" s="15" t="s">
        <v>224</v>
      </c>
      <c r="I70" s="15" t="s">
        <v>203</v>
      </c>
      <c r="J70" s="12" t="s">
        <v>225</v>
      </c>
      <c r="K70" s="12" t="s">
        <v>46</v>
      </c>
      <c r="L70" s="15" t="s">
        <v>228</v>
      </c>
      <c r="M70" s="15"/>
      <c r="N70" s="15"/>
      <c r="O70" s="15"/>
      <c r="P70" s="15" t="s">
        <v>79</v>
      </c>
      <c r="Q70" s="72">
        <v>2</v>
      </c>
      <c r="R70" s="15" t="s">
        <v>6</v>
      </c>
      <c r="S70" s="15" t="s">
        <v>55</v>
      </c>
      <c r="T70" s="15" t="s">
        <v>56</v>
      </c>
      <c r="U70" s="15" t="s">
        <v>81</v>
      </c>
      <c r="V70" s="15" t="s">
        <v>58</v>
      </c>
      <c r="W70" s="15" t="s">
        <v>227</v>
      </c>
      <c r="X70" s="15" t="s">
        <v>58</v>
      </c>
      <c r="Y70" s="15" t="s">
        <v>60</v>
      </c>
    </row>
    <row r="71" spans="2:25" ht="15" customHeight="1" x14ac:dyDescent="0.2">
      <c r="B71" s="15">
        <v>66</v>
      </c>
      <c r="C71" s="15" t="s">
        <v>46</v>
      </c>
      <c r="D71" s="15" t="s">
        <v>229</v>
      </c>
      <c r="E71" s="15" t="s">
        <v>48</v>
      </c>
      <c r="F71" s="15" t="s">
        <v>230</v>
      </c>
      <c r="G71" s="73">
        <v>1</v>
      </c>
      <c r="H71" s="15" t="s">
        <v>210</v>
      </c>
      <c r="I71" s="15" t="s">
        <v>203</v>
      </c>
      <c r="J71" s="12" t="s">
        <v>67</v>
      </c>
      <c r="K71" s="12" t="s">
        <v>188</v>
      </c>
      <c r="L71" s="15" t="s">
        <v>231</v>
      </c>
      <c r="M71" s="15"/>
      <c r="N71" s="15"/>
      <c r="O71" s="15"/>
      <c r="P71" s="15" t="s">
        <v>185</v>
      </c>
      <c r="Q71" s="72">
        <v>615</v>
      </c>
      <c r="R71" s="15" t="s">
        <v>186</v>
      </c>
      <c r="S71" s="15" t="s">
        <v>232</v>
      </c>
      <c r="T71" s="15" t="s">
        <v>125</v>
      </c>
      <c r="U71" s="15" t="s">
        <v>81</v>
      </c>
      <c r="V71" s="15" t="s">
        <v>58</v>
      </c>
      <c r="W71" s="15" t="s">
        <v>233</v>
      </c>
      <c r="X71" s="15" t="s">
        <v>58</v>
      </c>
      <c r="Y71" s="15" t="s">
        <v>60</v>
      </c>
    </row>
    <row r="72" spans="2:25" ht="15" customHeight="1" x14ac:dyDescent="0.2">
      <c r="B72" s="15">
        <v>67</v>
      </c>
      <c r="C72" s="15" t="s">
        <v>46</v>
      </c>
      <c r="D72" s="15" t="s">
        <v>234</v>
      </c>
      <c r="E72" s="15" t="s">
        <v>48</v>
      </c>
      <c r="F72" s="15" t="s">
        <v>48</v>
      </c>
      <c r="G72" s="73">
        <v>1</v>
      </c>
      <c r="H72" s="15" t="s">
        <v>235</v>
      </c>
      <c r="I72" s="15" t="s">
        <v>203</v>
      </c>
      <c r="J72" s="12" t="s">
        <v>204</v>
      </c>
      <c r="K72" s="12" t="s">
        <v>46</v>
      </c>
      <c r="L72" s="15" t="s">
        <v>236</v>
      </c>
      <c r="M72" s="15"/>
      <c r="N72" s="15"/>
      <c r="O72" s="15"/>
      <c r="P72" s="15" t="s">
        <v>79</v>
      </c>
      <c r="Q72" s="72">
        <v>2</v>
      </c>
      <c r="R72" s="15" t="s">
        <v>6</v>
      </c>
      <c r="S72" s="15" t="s">
        <v>55</v>
      </c>
      <c r="T72" s="15" t="s">
        <v>70</v>
      </c>
      <c r="U72" s="15" t="s">
        <v>81</v>
      </c>
      <c r="V72" s="15" t="s">
        <v>58</v>
      </c>
      <c r="W72" s="15" t="s">
        <v>237</v>
      </c>
      <c r="X72" s="15" t="s">
        <v>58</v>
      </c>
      <c r="Y72" s="15" t="s">
        <v>60</v>
      </c>
    </row>
    <row r="73" spans="2:25" ht="15" customHeight="1" x14ac:dyDescent="0.2">
      <c r="B73" s="15">
        <v>68</v>
      </c>
      <c r="C73" s="15" t="s">
        <v>46</v>
      </c>
      <c r="D73" s="15" t="s">
        <v>234</v>
      </c>
      <c r="E73" s="15" t="s">
        <v>48</v>
      </c>
      <c r="F73" s="15" t="s">
        <v>48</v>
      </c>
      <c r="G73" s="73">
        <v>1</v>
      </c>
      <c r="H73" s="15" t="s">
        <v>235</v>
      </c>
      <c r="I73" s="15" t="s">
        <v>203</v>
      </c>
      <c r="J73" s="12" t="s">
        <v>204</v>
      </c>
      <c r="K73" s="12" t="s">
        <v>238</v>
      </c>
      <c r="L73" s="15" t="s">
        <v>239</v>
      </c>
      <c r="M73" s="15" t="s">
        <v>240</v>
      </c>
      <c r="N73" s="15"/>
      <c r="O73" s="15"/>
      <c r="P73" s="15" t="s">
        <v>79</v>
      </c>
      <c r="Q73" s="72">
        <v>12</v>
      </c>
      <c r="R73" s="15" t="s">
        <v>6</v>
      </c>
      <c r="S73" s="15" t="s">
        <v>55</v>
      </c>
      <c r="T73" s="15" t="s">
        <v>70</v>
      </c>
      <c r="U73" s="15" t="s">
        <v>81</v>
      </c>
      <c r="V73" s="15" t="s">
        <v>58</v>
      </c>
      <c r="W73" s="15" t="s">
        <v>241</v>
      </c>
      <c r="X73" s="15" t="s">
        <v>58</v>
      </c>
      <c r="Y73" s="15" t="s">
        <v>60</v>
      </c>
    </row>
    <row r="74" spans="2:25" ht="15" customHeight="1" x14ac:dyDescent="0.2">
      <c r="B74" s="15">
        <v>69</v>
      </c>
      <c r="C74" s="15" t="s">
        <v>46</v>
      </c>
      <c r="D74" s="15" t="s">
        <v>242</v>
      </c>
      <c r="E74" s="15" t="s">
        <v>48</v>
      </c>
      <c r="F74" s="15" t="s">
        <v>58</v>
      </c>
      <c r="G74" s="73">
        <v>2</v>
      </c>
      <c r="H74" s="15" t="s">
        <v>243</v>
      </c>
      <c r="I74" s="15" t="s">
        <v>203</v>
      </c>
      <c r="J74" s="12" t="s">
        <v>67</v>
      </c>
      <c r="K74" s="12" t="s">
        <v>188</v>
      </c>
      <c r="L74" s="15" t="s">
        <v>231</v>
      </c>
      <c r="M74" s="15"/>
      <c r="N74" s="15"/>
      <c r="O74" s="15"/>
      <c r="P74" s="15" t="s">
        <v>185</v>
      </c>
      <c r="Q74" s="72">
        <v>472.5</v>
      </c>
      <c r="R74" s="15" t="s">
        <v>186</v>
      </c>
      <c r="S74" s="15" t="s">
        <v>232</v>
      </c>
      <c r="T74" s="15" t="s">
        <v>244</v>
      </c>
      <c r="U74" s="15" t="s">
        <v>81</v>
      </c>
      <c r="V74" s="15" t="s">
        <v>58</v>
      </c>
      <c r="W74" s="15" t="s">
        <v>245</v>
      </c>
      <c r="X74" s="15" t="s">
        <v>58</v>
      </c>
      <c r="Y74" s="15" t="s">
        <v>60</v>
      </c>
    </row>
    <row r="75" spans="2:25" ht="15" customHeight="1" x14ac:dyDescent="0.2">
      <c r="B75" s="15">
        <v>70</v>
      </c>
      <c r="C75" s="15" t="s">
        <v>46</v>
      </c>
      <c r="D75" s="15" t="s">
        <v>246</v>
      </c>
      <c r="E75" s="15" t="s">
        <v>48</v>
      </c>
      <c r="F75" s="15" t="s">
        <v>48</v>
      </c>
      <c r="G75" s="73">
        <v>2</v>
      </c>
      <c r="H75" s="15" t="s">
        <v>247</v>
      </c>
      <c r="I75" s="15" t="s">
        <v>203</v>
      </c>
      <c r="J75" s="12" t="s">
        <v>248</v>
      </c>
      <c r="K75" s="12" t="s">
        <v>46</v>
      </c>
      <c r="L75" s="15" t="s">
        <v>249</v>
      </c>
      <c r="M75" s="15"/>
      <c r="N75" s="15"/>
      <c r="O75" s="15"/>
      <c r="P75" s="15" t="s">
        <v>185</v>
      </c>
      <c r="Q75" s="72">
        <v>2</v>
      </c>
      <c r="R75" s="15" t="s">
        <v>6</v>
      </c>
      <c r="S75" s="15" t="s">
        <v>250</v>
      </c>
      <c r="T75" s="15" t="s">
        <v>56</v>
      </c>
      <c r="U75" s="15" t="s">
        <v>81</v>
      </c>
      <c r="V75" s="15" t="s">
        <v>58</v>
      </c>
      <c r="W75" s="15" t="s">
        <v>251</v>
      </c>
      <c r="X75" s="15" t="s">
        <v>58</v>
      </c>
      <c r="Y75" s="15" t="s">
        <v>60</v>
      </c>
    </row>
    <row r="76" spans="2:25" ht="15" customHeight="1" x14ac:dyDescent="0.2">
      <c r="B76" s="15">
        <v>71</v>
      </c>
      <c r="C76" s="15" t="s">
        <v>46</v>
      </c>
      <c r="D76" s="15" t="s">
        <v>246</v>
      </c>
      <c r="E76" s="15" t="s">
        <v>48</v>
      </c>
      <c r="F76" s="15" t="s">
        <v>48</v>
      </c>
      <c r="G76" s="73">
        <v>2</v>
      </c>
      <c r="H76" s="15" t="s">
        <v>247</v>
      </c>
      <c r="I76" s="15" t="s">
        <v>203</v>
      </c>
      <c r="J76" s="12" t="s">
        <v>248</v>
      </c>
      <c r="K76" s="12" t="s">
        <v>46</v>
      </c>
      <c r="L76" s="15" t="s">
        <v>252</v>
      </c>
      <c r="M76" s="15"/>
      <c r="N76" s="15"/>
      <c r="O76" s="15"/>
      <c r="P76" s="15" t="s">
        <v>185</v>
      </c>
      <c r="Q76" s="72">
        <v>1</v>
      </c>
      <c r="R76" s="15" t="s">
        <v>6</v>
      </c>
      <c r="S76" s="15" t="s">
        <v>250</v>
      </c>
      <c r="T76" s="15" t="s">
        <v>56</v>
      </c>
      <c r="U76" s="15" t="s">
        <v>81</v>
      </c>
      <c r="V76" s="15" t="s">
        <v>58</v>
      </c>
      <c r="W76" s="15" t="s">
        <v>251</v>
      </c>
      <c r="X76" s="15" t="s">
        <v>58</v>
      </c>
      <c r="Y76" s="15" t="s">
        <v>60</v>
      </c>
    </row>
    <row r="77" spans="2:25" ht="15" customHeight="1" x14ac:dyDescent="0.2">
      <c r="B77" s="15">
        <v>72</v>
      </c>
      <c r="C77" s="15" t="s">
        <v>46</v>
      </c>
      <c r="D77" s="15" t="s">
        <v>253</v>
      </c>
      <c r="E77" s="15" t="s">
        <v>48</v>
      </c>
      <c r="F77" s="15" t="s">
        <v>48</v>
      </c>
      <c r="G77" s="73">
        <v>2</v>
      </c>
      <c r="H77" s="15" t="s">
        <v>247</v>
      </c>
      <c r="I77" s="15" t="s">
        <v>203</v>
      </c>
      <c r="J77" s="12" t="s">
        <v>248</v>
      </c>
      <c r="K77" s="12" t="s">
        <v>46</v>
      </c>
      <c r="L77" s="15" t="s">
        <v>252</v>
      </c>
      <c r="M77" s="15"/>
      <c r="N77" s="15"/>
      <c r="O77" s="15"/>
      <c r="P77" s="15" t="s">
        <v>185</v>
      </c>
      <c r="Q77" s="72">
        <v>2</v>
      </c>
      <c r="R77" s="15" t="s">
        <v>6</v>
      </c>
      <c r="S77" s="15" t="s">
        <v>250</v>
      </c>
      <c r="T77" s="15" t="s">
        <v>70</v>
      </c>
      <c r="U77" s="15" t="s">
        <v>81</v>
      </c>
      <c r="V77" s="15" t="s">
        <v>58</v>
      </c>
      <c r="W77" s="15" t="s">
        <v>251</v>
      </c>
      <c r="X77" s="15" t="s">
        <v>58</v>
      </c>
      <c r="Y77" s="15" t="s">
        <v>60</v>
      </c>
    </row>
    <row r="78" spans="2:25" ht="15" customHeight="1" x14ac:dyDescent="0.2">
      <c r="B78" s="15">
        <v>73</v>
      </c>
      <c r="C78" s="15" t="s">
        <v>46</v>
      </c>
      <c r="D78" s="15" t="s">
        <v>254</v>
      </c>
      <c r="E78" s="15" t="s">
        <v>48</v>
      </c>
      <c r="F78" s="15" t="s">
        <v>48</v>
      </c>
      <c r="G78" s="73">
        <v>2</v>
      </c>
      <c r="H78" s="15" t="s">
        <v>247</v>
      </c>
      <c r="I78" s="15" t="s">
        <v>203</v>
      </c>
      <c r="J78" s="12" t="s">
        <v>255</v>
      </c>
      <c r="K78" s="12">
        <v>200100020008</v>
      </c>
      <c r="L78" s="15" t="s">
        <v>870</v>
      </c>
      <c r="M78" s="15" t="s">
        <v>256</v>
      </c>
      <c r="N78" s="15"/>
      <c r="O78" s="15"/>
      <c r="P78" s="15" t="s">
        <v>79</v>
      </c>
      <c r="Q78" s="72">
        <v>3</v>
      </c>
      <c r="R78" s="15" t="s">
        <v>6</v>
      </c>
      <c r="S78" s="15" t="s">
        <v>55</v>
      </c>
      <c r="T78" s="15" t="s">
        <v>70</v>
      </c>
      <c r="U78" s="15" t="s">
        <v>81</v>
      </c>
      <c r="V78" s="15" t="s">
        <v>58</v>
      </c>
      <c r="W78" s="15" t="s">
        <v>90</v>
      </c>
      <c r="X78" s="15" t="s">
        <v>58</v>
      </c>
      <c r="Y78" s="15" t="s">
        <v>60</v>
      </c>
    </row>
    <row r="79" spans="2:25" ht="15" customHeight="1" x14ac:dyDescent="0.2">
      <c r="B79" s="15">
        <v>74</v>
      </c>
      <c r="C79" s="15" t="s">
        <v>46</v>
      </c>
      <c r="D79" s="15" t="s">
        <v>254</v>
      </c>
      <c r="E79" s="15" t="s">
        <v>48</v>
      </c>
      <c r="F79" s="15" t="s">
        <v>48</v>
      </c>
      <c r="G79" s="73">
        <v>2</v>
      </c>
      <c r="H79" s="15" t="s">
        <v>247</v>
      </c>
      <c r="I79" s="15" t="s">
        <v>203</v>
      </c>
      <c r="J79" s="12" t="s">
        <v>255</v>
      </c>
      <c r="K79" s="12" t="s">
        <v>46</v>
      </c>
      <c r="L79" s="15" t="s">
        <v>869</v>
      </c>
      <c r="M79" s="15" t="s">
        <v>257</v>
      </c>
      <c r="N79" s="15"/>
      <c r="O79" s="15"/>
      <c r="P79" s="15" t="s">
        <v>79</v>
      </c>
      <c r="Q79" s="72">
        <v>3</v>
      </c>
      <c r="R79" s="15" t="s">
        <v>6</v>
      </c>
      <c r="S79" s="15" t="s">
        <v>55</v>
      </c>
      <c r="T79" s="15" t="s">
        <v>70</v>
      </c>
      <c r="U79" s="15" t="s">
        <v>81</v>
      </c>
      <c r="V79" s="15" t="s">
        <v>58</v>
      </c>
      <c r="W79" s="15" t="s">
        <v>90</v>
      </c>
      <c r="X79" s="15" t="s">
        <v>58</v>
      </c>
      <c r="Y79" s="15" t="s">
        <v>60</v>
      </c>
    </row>
    <row r="80" spans="2:25" ht="15" customHeight="1" x14ac:dyDescent="0.2">
      <c r="B80" s="15">
        <v>75</v>
      </c>
      <c r="C80" s="15" t="s">
        <v>46</v>
      </c>
      <c r="D80" s="15" t="s">
        <v>254</v>
      </c>
      <c r="E80" s="15" t="s">
        <v>48</v>
      </c>
      <c r="F80" s="15" t="s">
        <v>48</v>
      </c>
      <c r="G80" s="73">
        <v>2</v>
      </c>
      <c r="H80" s="15" t="s">
        <v>247</v>
      </c>
      <c r="I80" s="15" t="s">
        <v>203</v>
      </c>
      <c r="J80" s="12" t="s">
        <v>255</v>
      </c>
      <c r="K80" s="12" t="s">
        <v>46</v>
      </c>
      <c r="L80" s="15" t="s">
        <v>868</v>
      </c>
      <c r="M80" s="15" t="s">
        <v>257</v>
      </c>
      <c r="N80" s="15"/>
      <c r="O80" s="15"/>
      <c r="P80" s="15" t="s">
        <v>79</v>
      </c>
      <c r="Q80" s="72">
        <v>3</v>
      </c>
      <c r="R80" s="15" t="s">
        <v>6</v>
      </c>
      <c r="S80" s="15" t="s">
        <v>55</v>
      </c>
      <c r="T80" s="15" t="s">
        <v>70</v>
      </c>
      <c r="U80" s="15" t="s">
        <v>81</v>
      </c>
      <c r="V80" s="15" t="s">
        <v>58</v>
      </c>
      <c r="W80" s="15" t="s">
        <v>90</v>
      </c>
      <c r="X80" s="15" t="s">
        <v>58</v>
      </c>
      <c r="Y80" s="15" t="s">
        <v>60</v>
      </c>
    </row>
    <row r="81" spans="2:25" ht="15" customHeight="1" x14ac:dyDescent="0.2">
      <c r="B81" s="15">
        <v>76</v>
      </c>
      <c r="C81" s="15" t="s">
        <v>46</v>
      </c>
      <c r="D81" s="15" t="s">
        <v>258</v>
      </c>
      <c r="E81" s="15" t="s">
        <v>48</v>
      </c>
      <c r="F81" s="15" t="s">
        <v>48</v>
      </c>
      <c r="G81" s="73">
        <v>3</v>
      </c>
      <c r="H81" s="15" t="s">
        <v>259</v>
      </c>
      <c r="I81" s="15" t="s">
        <v>203</v>
      </c>
      <c r="J81" s="12" t="s">
        <v>260</v>
      </c>
      <c r="K81" s="12" t="s">
        <v>46</v>
      </c>
      <c r="L81" s="15" t="s">
        <v>261</v>
      </c>
      <c r="M81" s="15"/>
      <c r="N81" s="15"/>
      <c r="O81" s="15"/>
      <c r="P81" s="15" t="s">
        <v>79</v>
      </c>
      <c r="Q81" s="72">
        <v>30</v>
      </c>
      <c r="R81" s="15" t="s">
        <v>160</v>
      </c>
      <c r="S81" s="15" t="s">
        <v>55</v>
      </c>
      <c r="T81" s="15" t="s">
        <v>262</v>
      </c>
      <c r="U81" s="15" t="s">
        <v>81</v>
      </c>
      <c r="V81" s="15" t="s">
        <v>58</v>
      </c>
      <c r="W81" s="15" t="s">
        <v>263</v>
      </c>
      <c r="X81" s="15" t="s">
        <v>58</v>
      </c>
      <c r="Y81" s="15" t="s">
        <v>60</v>
      </c>
    </row>
    <row r="82" spans="2:25" ht="15" customHeight="1" x14ac:dyDescent="0.2">
      <c r="B82" s="15">
        <v>77</v>
      </c>
      <c r="C82" s="15" t="s">
        <v>46</v>
      </c>
      <c r="D82" s="15" t="s">
        <v>258</v>
      </c>
      <c r="E82" s="15" t="s">
        <v>48</v>
      </c>
      <c r="F82" s="15" t="s">
        <v>48</v>
      </c>
      <c r="G82" s="73">
        <v>3</v>
      </c>
      <c r="H82" s="15" t="s">
        <v>259</v>
      </c>
      <c r="I82" s="15" t="s">
        <v>203</v>
      </c>
      <c r="J82" s="12" t="s">
        <v>260</v>
      </c>
      <c r="K82" s="12" t="s">
        <v>46</v>
      </c>
      <c r="L82" s="15" t="s">
        <v>264</v>
      </c>
      <c r="M82" s="15"/>
      <c r="N82" s="15"/>
      <c r="O82" s="15"/>
      <c r="P82" s="15" t="s">
        <v>79</v>
      </c>
      <c r="Q82" s="72">
        <v>40</v>
      </c>
      <c r="R82" s="15" t="s">
        <v>160</v>
      </c>
      <c r="S82" s="15" t="s">
        <v>55</v>
      </c>
      <c r="T82" s="15" t="s">
        <v>262</v>
      </c>
      <c r="U82" s="15" t="s">
        <v>81</v>
      </c>
      <c r="V82" s="15" t="s">
        <v>58</v>
      </c>
      <c r="W82" s="15" t="s">
        <v>263</v>
      </c>
      <c r="X82" s="15" t="s">
        <v>58</v>
      </c>
      <c r="Y82" s="15" t="s">
        <v>60</v>
      </c>
    </row>
    <row r="83" spans="2:25" ht="15" customHeight="1" x14ac:dyDescent="0.2">
      <c r="B83" s="15">
        <v>78</v>
      </c>
      <c r="C83" s="15" t="s">
        <v>46</v>
      </c>
      <c r="D83" s="15" t="s">
        <v>265</v>
      </c>
      <c r="E83" s="15" t="s">
        <v>48</v>
      </c>
      <c r="F83" s="15" t="s">
        <v>48</v>
      </c>
      <c r="G83" s="73">
        <v>4</v>
      </c>
      <c r="H83" s="15" t="s">
        <v>266</v>
      </c>
      <c r="I83" s="15" t="s">
        <v>203</v>
      </c>
      <c r="J83" s="12" t="s">
        <v>67</v>
      </c>
      <c r="K83" s="12" t="s">
        <v>46</v>
      </c>
      <c r="L83" s="15" t="s">
        <v>267</v>
      </c>
      <c r="M83" s="15" t="s">
        <v>268</v>
      </c>
      <c r="N83" s="15"/>
      <c r="O83" s="15"/>
      <c r="P83" s="15" t="s">
        <v>79</v>
      </c>
      <c r="Q83" s="72">
        <v>1</v>
      </c>
      <c r="R83" s="15" t="s">
        <v>6</v>
      </c>
      <c r="S83" s="15" t="s">
        <v>55</v>
      </c>
      <c r="T83" s="15" t="s">
        <v>244</v>
      </c>
      <c r="U83" s="15" t="s">
        <v>81</v>
      </c>
      <c r="V83" s="15" t="s">
        <v>58</v>
      </c>
      <c r="W83" s="15" t="s">
        <v>269</v>
      </c>
      <c r="X83" s="15" t="s">
        <v>58</v>
      </c>
      <c r="Y83" s="15" t="s">
        <v>60</v>
      </c>
    </row>
    <row r="84" spans="2:25" ht="15" customHeight="1" x14ac:dyDescent="0.2">
      <c r="B84" s="15">
        <v>79</v>
      </c>
      <c r="C84" s="15" t="s">
        <v>46</v>
      </c>
      <c r="D84" s="15" t="s">
        <v>265</v>
      </c>
      <c r="E84" s="15" t="s">
        <v>48</v>
      </c>
      <c r="F84" s="15" t="s">
        <v>48</v>
      </c>
      <c r="G84" s="73">
        <v>4</v>
      </c>
      <c r="H84" s="15" t="s">
        <v>266</v>
      </c>
      <c r="I84" s="15" t="s">
        <v>203</v>
      </c>
      <c r="J84" s="12" t="s">
        <v>67</v>
      </c>
      <c r="K84" s="12" t="s">
        <v>270</v>
      </c>
      <c r="L84" s="15" t="s">
        <v>271</v>
      </c>
      <c r="M84" s="15" t="s">
        <v>272</v>
      </c>
      <c r="N84" s="15"/>
      <c r="O84" s="15" t="s">
        <v>273</v>
      </c>
      <c r="P84" s="15" t="s">
        <v>79</v>
      </c>
      <c r="Q84" s="72">
        <v>5</v>
      </c>
      <c r="R84" s="15" t="s">
        <v>6</v>
      </c>
      <c r="S84" s="15" t="s">
        <v>55</v>
      </c>
      <c r="T84" s="15" t="s">
        <v>244</v>
      </c>
      <c r="U84" s="15" t="s">
        <v>81</v>
      </c>
      <c r="V84" s="15" t="s">
        <v>58</v>
      </c>
      <c r="W84" s="15" t="s">
        <v>269</v>
      </c>
      <c r="X84" s="15" t="s">
        <v>58</v>
      </c>
      <c r="Y84" s="15" t="s">
        <v>60</v>
      </c>
    </row>
    <row r="85" spans="2:25" ht="15" customHeight="1" x14ac:dyDescent="0.2">
      <c r="B85" s="15">
        <v>80</v>
      </c>
      <c r="C85" s="15" t="s">
        <v>46</v>
      </c>
      <c r="D85" s="15" t="s">
        <v>265</v>
      </c>
      <c r="E85" s="15" t="s">
        <v>48</v>
      </c>
      <c r="F85" s="15" t="s">
        <v>48</v>
      </c>
      <c r="G85" s="73">
        <v>4</v>
      </c>
      <c r="H85" s="15" t="s">
        <v>266</v>
      </c>
      <c r="I85" s="15" t="s">
        <v>203</v>
      </c>
      <c r="J85" s="12" t="s">
        <v>67</v>
      </c>
      <c r="K85" s="12" t="s">
        <v>274</v>
      </c>
      <c r="L85" s="15" t="s">
        <v>275</v>
      </c>
      <c r="M85" s="15" t="s">
        <v>272</v>
      </c>
      <c r="N85" s="15"/>
      <c r="O85" s="15" t="s">
        <v>276</v>
      </c>
      <c r="P85" s="15" t="s">
        <v>79</v>
      </c>
      <c r="Q85" s="72">
        <v>4</v>
      </c>
      <c r="R85" s="15" t="s">
        <v>6</v>
      </c>
      <c r="S85" s="15" t="s">
        <v>55</v>
      </c>
      <c r="T85" s="15" t="s">
        <v>244</v>
      </c>
      <c r="U85" s="15" t="s">
        <v>81</v>
      </c>
      <c r="V85" s="15" t="s">
        <v>58</v>
      </c>
      <c r="W85" s="15" t="s">
        <v>269</v>
      </c>
      <c r="X85" s="15" t="s">
        <v>58</v>
      </c>
      <c r="Y85" s="15" t="s">
        <v>60</v>
      </c>
    </row>
    <row r="86" spans="2:25" ht="15" customHeight="1" x14ac:dyDescent="0.2">
      <c r="B86" s="15">
        <v>81</v>
      </c>
      <c r="C86" s="15" t="s">
        <v>46</v>
      </c>
      <c r="D86" s="15" t="s">
        <v>277</v>
      </c>
      <c r="E86" s="15" t="s">
        <v>48</v>
      </c>
      <c r="F86" s="15" t="s">
        <v>58</v>
      </c>
      <c r="G86" s="73">
        <v>4</v>
      </c>
      <c r="H86" s="15" t="s">
        <v>278</v>
      </c>
      <c r="I86" s="15" t="s">
        <v>203</v>
      </c>
      <c r="J86" s="12" t="s">
        <v>67</v>
      </c>
      <c r="K86" s="12" t="s">
        <v>46</v>
      </c>
      <c r="L86" s="15" t="s">
        <v>279</v>
      </c>
      <c r="M86" s="15"/>
      <c r="N86" s="15"/>
      <c r="O86" s="15"/>
      <c r="P86" s="15" t="s">
        <v>185</v>
      </c>
      <c r="Q86" s="72">
        <v>77.5</v>
      </c>
      <c r="R86" s="15" t="s">
        <v>186</v>
      </c>
      <c r="S86" s="15" t="s">
        <v>232</v>
      </c>
      <c r="T86" s="15" t="s">
        <v>280</v>
      </c>
      <c r="U86" s="15" t="s">
        <v>81</v>
      </c>
      <c r="V86" s="15" t="s">
        <v>58</v>
      </c>
      <c r="W86" s="15" t="s">
        <v>233</v>
      </c>
      <c r="X86" s="15" t="s">
        <v>58</v>
      </c>
      <c r="Y86" s="15" t="s">
        <v>60</v>
      </c>
    </row>
    <row r="87" spans="2:25" ht="15" customHeight="1" x14ac:dyDescent="0.2">
      <c r="B87" s="15">
        <v>82</v>
      </c>
      <c r="C87" s="15" t="s">
        <v>46</v>
      </c>
      <c r="D87" s="15" t="s">
        <v>281</v>
      </c>
      <c r="E87" s="15" t="s">
        <v>48</v>
      </c>
      <c r="F87" s="15" t="s">
        <v>48</v>
      </c>
      <c r="G87" s="73">
        <v>4</v>
      </c>
      <c r="H87" s="15" t="s">
        <v>282</v>
      </c>
      <c r="I87" s="15" t="s">
        <v>203</v>
      </c>
      <c r="J87" s="12" t="s">
        <v>67</v>
      </c>
      <c r="K87" s="12" t="s">
        <v>283</v>
      </c>
      <c r="L87" s="15" t="s">
        <v>284</v>
      </c>
      <c r="M87" s="15"/>
      <c r="N87" s="15"/>
      <c r="O87" s="15"/>
      <c r="P87" s="15" t="s">
        <v>79</v>
      </c>
      <c r="Q87" s="72">
        <v>2</v>
      </c>
      <c r="R87" s="15" t="s">
        <v>6</v>
      </c>
      <c r="S87" s="15" t="s">
        <v>55</v>
      </c>
      <c r="T87" s="15" t="s">
        <v>56</v>
      </c>
      <c r="U87" s="15" t="s">
        <v>81</v>
      </c>
      <c r="V87" s="15" t="s">
        <v>58</v>
      </c>
      <c r="W87" s="15" t="s">
        <v>285</v>
      </c>
      <c r="X87" s="15" t="s">
        <v>58</v>
      </c>
      <c r="Y87" s="15" t="s">
        <v>60</v>
      </c>
    </row>
    <row r="88" spans="2:25" ht="15" customHeight="1" x14ac:dyDescent="0.2">
      <c r="B88" s="15">
        <v>83</v>
      </c>
      <c r="C88" s="15" t="s">
        <v>46</v>
      </c>
      <c r="D88" s="15" t="s">
        <v>281</v>
      </c>
      <c r="E88" s="15" t="s">
        <v>48</v>
      </c>
      <c r="F88" s="15" t="s">
        <v>48</v>
      </c>
      <c r="G88" s="73">
        <v>4</v>
      </c>
      <c r="H88" s="15" t="s">
        <v>282</v>
      </c>
      <c r="I88" s="15" t="s">
        <v>203</v>
      </c>
      <c r="J88" s="12" t="s">
        <v>67</v>
      </c>
      <c r="K88" s="12" t="s">
        <v>286</v>
      </c>
      <c r="L88" s="15" t="s">
        <v>287</v>
      </c>
      <c r="M88" s="15"/>
      <c r="N88" s="15"/>
      <c r="O88" s="15"/>
      <c r="P88" s="15" t="s">
        <v>79</v>
      </c>
      <c r="Q88" s="72">
        <v>2</v>
      </c>
      <c r="R88" s="15" t="s">
        <v>180</v>
      </c>
      <c r="S88" s="15" t="s">
        <v>55</v>
      </c>
      <c r="T88" s="15" t="s">
        <v>56</v>
      </c>
      <c r="U88" s="15" t="s">
        <v>81</v>
      </c>
      <c r="V88" s="15" t="s">
        <v>58</v>
      </c>
      <c r="W88" s="15" t="s">
        <v>285</v>
      </c>
      <c r="X88" s="15" t="s">
        <v>58</v>
      </c>
      <c r="Y88" s="15" t="s">
        <v>60</v>
      </c>
    </row>
    <row r="89" spans="2:25" ht="15" customHeight="1" x14ac:dyDescent="0.2">
      <c r="B89" s="15">
        <v>84</v>
      </c>
      <c r="C89" s="15" t="s">
        <v>46</v>
      </c>
      <c r="D89" s="15" t="s">
        <v>281</v>
      </c>
      <c r="E89" s="15" t="s">
        <v>48</v>
      </c>
      <c r="F89" s="15" t="s">
        <v>48</v>
      </c>
      <c r="G89" s="73">
        <v>4</v>
      </c>
      <c r="H89" s="15" t="s">
        <v>282</v>
      </c>
      <c r="I89" s="15" t="s">
        <v>203</v>
      </c>
      <c r="J89" s="12" t="s">
        <v>67</v>
      </c>
      <c r="K89" s="12" t="s">
        <v>288</v>
      </c>
      <c r="L89" s="15" t="s">
        <v>289</v>
      </c>
      <c r="M89" s="15"/>
      <c r="N89" s="15"/>
      <c r="O89" s="15"/>
      <c r="P89" s="15" t="s">
        <v>79</v>
      </c>
      <c r="Q89" s="72">
        <v>1</v>
      </c>
      <c r="R89" s="15" t="s">
        <v>6</v>
      </c>
      <c r="S89" s="15" t="s">
        <v>55</v>
      </c>
      <c r="T89" s="15" t="s">
        <v>56</v>
      </c>
      <c r="U89" s="15" t="s">
        <v>81</v>
      </c>
      <c r="V89" s="15" t="s">
        <v>58</v>
      </c>
      <c r="W89" s="15" t="s">
        <v>285</v>
      </c>
      <c r="X89" s="15" t="s">
        <v>58</v>
      </c>
      <c r="Y89" s="15" t="s">
        <v>60</v>
      </c>
    </row>
    <row r="90" spans="2:25" ht="15" customHeight="1" x14ac:dyDescent="0.2">
      <c r="B90" s="15">
        <v>85</v>
      </c>
      <c r="C90" s="15" t="s">
        <v>46</v>
      </c>
      <c r="D90" s="15" t="s">
        <v>281</v>
      </c>
      <c r="E90" s="15" t="s">
        <v>48</v>
      </c>
      <c r="F90" s="15" t="s">
        <v>48</v>
      </c>
      <c r="G90" s="73">
        <v>4</v>
      </c>
      <c r="H90" s="15" t="s">
        <v>282</v>
      </c>
      <c r="I90" s="15" t="s">
        <v>203</v>
      </c>
      <c r="J90" s="12" t="s">
        <v>67</v>
      </c>
      <c r="K90" s="12" t="s">
        <v>290</v>
      </c>
      <c r="L90" s="15" t="s">
        <v>291</v>
      </c>
      <c r="M90" s="15"/>
      <c r="N90" s="15"/>
      <c r="O90" s="15"/>
      <c r="P90" s="15" t="s">
        <v>79</v>
      </c>
      <c r="Q90" s="72">
        <v>1</v>
      </c>
      <c r="R90" s="15" t="s">
        <v>6</v>
      </c>
      <c r="S90" s="15" t="s">
        <v>55</v>
      </c>
      <c r="T90" s="15" t="s">
        <v>56</v>
      </c>
      <c r="U90" s="15" t="s">
        <v>81</v>
      </c>
      <c r="V90" s="15" t="s">
        <v>58</v>
      </c>
      <c r="W90" s="15" t="s">
        <v>285</v>
      </c>
      <c r="X90" s="15" t="s">
        <v>58</v>
      </c>
      <c r="Y90" s="15" t="s">
        <v>60</v>
      </c>
    </row>
    <row r="91" spans="2:25" ht="15" customHeight="1" x14ac:dyDescent="0.2">
      <c r="B91" s="15">
        <v>86</v>
      </c>
      <c r="C91" s="15" t="s">
        <v>46</v>
      </c>
      <c r="D91" s="15" t="s">
        <v>281</v>
      </c>
      <c r="E91" s="15" t="s">
        <v>48</v>
      </c>
      <c r="F91" s="15" t="s">
        <v>48</v>
      </c>
      <c r="G91" s="73">
        <v>4</v>
      </c>
      <c r="H91" s="15" t="s">
        <v>282</v>
      </c>
      <c r="I91" s="15" t="s">
        <v>203</v>
      </c>
      <c r="J91" s="12" t="s">
        <v>67</v>
      </c>
      <c r="K91" s="12" t="s">
        <v>46</v>
      </c>
      <c r="L91" s="15" t="s">
        <v>292</v>
      </c>
      <c r="M91" s="15" t="s">
        <v>293</v>
      </c>
      <c r="N91" s="15"/>
      <c r="O91" s="15" t="s">
        <v>294</v>
      </c>
      <c r="P91" s="15" t="s">
        <v>79</v>
      </c>
      <c r="Q91" s="72">
        <v>1</v>
      </c>
      <c r="R91" s="15" t="s">
        <v>6</v>
      </c>
      <c r="S91" s="15" t="s">
        <v>55</v>
      </c>
      <c r="T91" s="15" t="s">
        <v>56</v>
      </c>
      <c r="U91" s="15" t="s">
        <v>81</v>
      </c>
      <c r="V91" s="15" t="s">
        <v>58</v>
      </c>
      <c r="W91" s="15" t="s">
        <v>285</v>
      </c>
      <c r="X91" s="15" t="s">
        <v>58</v>
      </c>
      <c r="Y91" s="15" t="s">
        <v>60</v>
      </c>
    </row>
    <row r="92" spans="2:25" ht="15" customHeight="1" x14ac:dyDescent="0.2">
      <c r="B92" s="15">
        <v>87</v>
      </c>
      <c r="C92" s="15" t="s">
        <v>46</v>
      </c>
      <c r="D92" s="15" t="s">
        <v>281</v>
      </c>
      <c r="E92" s="15" t="s">
        <v>48</v>
      </c>
      <c r="F92" s="15" t="s">
        <v>48</v>
      </c>
      <c r="G92" s="73">
        <v>4</v>
      </c>
      <c r="H92" s="15" t="s">
        <v>282</v>
      </c>
      <c r="I92" s="15" t="s">
        <v>203</v>
      </c>
      <c r="J92" s="12" t="s">
        <v>67</v>
      </c>
      <c r="K92" s="12" t="s">
        <v>46</v>
      </c>
      <c r="L92" s="15" t="s">
        <v>295</v>
      </c>
      <c r="M92" s="15"/>
      <c r="N92" s="15"/>
      <c r="O92" s="15"/>
      <c r="P92" s="15" t="s">
        <v>79</v>
      </c>
      <c r="Q92" s="72">
        <v>1</v>
      </c>
      <c r="R92" s="15" t="s">
        <v>6</v>
      </c>
      <c r="S92" s="15" t="s">
        <v>55</v>
      </c>
      <c r="T92" s="15" t="s">
        <v>56</v>
      </c>
      <c r="U92" s="15" t="s">
        <v>81</v>
      </c>
      <c r="V92" s="15" t="s">
        <v>58</v>
      </c>
      <c r="W92" s="15" t="s">
        <v>285</v>
      </c>
      <c r="X92" s="15" t="s">
        <v>58</v>
      </c>
      <c r="Y92" s="15" t="s">
        <v>60</v>
      </c>
    </row>
    <row r="93" spans="2:25" ht="15" customHeight="1" x14ac:dyDescent="0.2">
      <c r="B93" s="15">
        <v>88</v>
      </c>
      <c r="C93" s="15" t="s">
        <v>46</v>
      </c>
      <c r="D93" s="15" t="s">
        <v>296</v>
      </c>
      <c r="E93" s="15" t="s">
        <v>48</v>
      </c>
      <c r="F93" s="15" t="s">
        <v>48</v>
      </c>
      <c r="G93" s="73">
        <v>1</v>
      </c>
      <c r="H93" s="15" t="s">
        <v>297</v>
      </c>
      <c r="I93" s="15" t="s">
        <v>298</v>
      </c>
      <c r="J93" s="12" t="s">
        <v>67</v>
      </c>
      <c r="K93" s="12" t="s">
        <v>299</v>
      </c>
      <c r="L93" s="15" t="s">
        <v>190</v>
      </c>
      <c r="M93" s="15" t="s">
        <v>300</v>
      </c>
      <c r="N93" s="15"/>
      <c r="O93" s="15"/>
      <c r="P93" s="15" t="s">
        <v>185</v>
      </c>
      <c r="Q93" s="72">
        <v>412.5</v>
      </c>
      <c r="R93" s="15" t="s">
        <v>186</v>
      </c>
      <c r="S93" s="15" t="s">
        <v>55</v>
      </c>
      <c r="T93" s="15" t="s">
        <v>280</v>
      </c>
      <c r="U93" s="15" t="s">
        <v>57</v>
      </c>
      <c r="V93" s="15" t="s">
        <v>58</v>
      </c>
      <c r="W93" s="15" t="s">
        <v>301</v>
      </c>
      <c r="X93" s="15" t="s">
        <v>58</v>
      </c>
      <c r="Y93" s="15" t="s">
        <v>60</v>
      </c>
    </row>
    <row r="94" spans="2:25" ht="15" customHeight="1" x14ac:dyDescent="0.2">
      <c r="B94" s="15">
        <v>89</v>
      </c>
      <c r="C94" s="15" t="s">
        <v>46</v>
      </c>
      <c r="D94" s="15" t="s">
        <v>302</v>
      </c>
      <c r="E94" s="15" t="s">
        <v>48</v>
      </c>
      <c r="F94" s="15" t="s">
        <v>48</v>
      </c>
      <c r="G94" s="73">
        <v>1</v>
      </c>
      <c r="H94" s="15" t="s">
        <v>297</v>
      </c>
      <c r="I94" s="15" t="s">
        <v>298</v>
      </c>
      <c r="J94" s="12" t="s">
        <v>67</v>
      </c>
      <c r="K94" s="12" t="s">
        <v>46</v>
      </c>
      <c r="L94" s="15" t="s">
        <v>303</v>
      </c>
      <c r="M94" s="15"/>
      <c r="N94" s="15"/>
      <c r="O94" s="15"/>
      <c r="P94" s="15" t="s">
        <v>185</v>
      </c>
      <c r="Q94" s="72">
        <v>340</v>
      </c>
      <c r="R94" s="15" t="s">
        <v>186</v>
      </c>
      <c r="S94" s="15" t="s">
        <v>232</v>
      </c>
      <c r="T94" s="15" t="s">
        <v>125</v>
      </c>
      <c r="U94" s="15" t="s">
        <v>57</v>
      </c>
      <c r="V94" s="15" t="s">
        <v>58</v>
      </c>
      <c r="W94" s="15" t="s">
        <v>233</v>
      </c>
      <c r="X94" s="15" t="s">
        <v>58</v>
      </c>
      <c r="Y94" s="15" t="s">
        <v>60</v>
      </c>
    </row>
    <row r="95" spans="2:25" ht="15" customHeight="1" x14ac:dyDescent="0.2">
      <c r="B95" s="15">
        <v>90</v>
      </c>
      <c r="C95" s="15" t="s">
        <v>46</v>
      </c>
      <c r="D95" s="15" t="s">
        <v>304</v>
      </c>
      <c r="E95" s="15" t="s">
        <v>48</v>
      </c>
      <c r="F95" s="15" t="s">
        <v>48</v>
      </c>
      <c r="G95" s="73">
        <v>1</v>
      </c>
      <c r="H95" s="15" t="s">
        <v>305</v>
      </c>
      <c r="I95" s="15" t="s">
        <v>298</v>
      </c>
      <c r="J95" s="12" t="s">
        <v>67</v>
      </c>
      <c r="K95" s="12" t="s">
        <v>46</v>
      </c>
      <c r="L95" s="15" t="s">
        <v>306</v>
      </c>
      <c r="M95" s="15" t="s">
        <v>307</v>
      </c>
      <c r="N95" s="15"/>
      <c r="O95" s="15"/>
      <c r="P95" s="15" t="s">
        <v>79</v>
      </c>
      <c r="Q95" s="72">
        <v>1</v>
      </c>
      <c r="R95" s="15" t="s">
        <v>6</v>
      </c>
      <c r="S95" s="15" t="s">
        <v>55</v>
      </c>
      <c r="T95" s="15" t="s">
        <v>95</v>
      </c>
      <c r="U95" s="15" t="s">
        <v>57</v>
      </c>
      <c r="V95" s="15" t="s">
        <v>58</v>
      </c>
      <c r="W95" s="15" t="s">
        <v>308</v>
      </c>
      <c r="X95" s="15" t="s">
        <v>58</v>
      </c>
      <c r="Y95" s="15" t="s">
        <v>60</v>
      </c>
    </row>
    <row r="96" spans="2:25" ht="15" customHeight="1" x14ac:dyDescent="0.2">
      <c r="B96" s="15">
        <v>91</v>
      </c>
      <c r="C96" s="15" t="s">
        <v>46</v>
      </c>
      <c r="D96" s="15" t="s">
        <v>304</v>
      </c>
      <c r="E96" s="15" t="s">
        <v>48</v>
      </c>
      <c r="F96" s="15" t="s">
        <v>48</v>
      </c>
      <c r="G96" s="73">
        <v>1</v>
      </c>
      <c r="H96" s="15" t="s">
        <v>305</v>
      </c>
      <c r="I96" s="15" t="s">
        <v>298</v>
      </c>
      <c r="J96" s="12" t="s">
        <v>67</v>
      </c>
      <c r="K96" s="12" t="s">
        <v>46</v>
      </c>
      <c r="L96" s="15" t="s">
        <v>309</v>
      </c>
      <c r="M96" s="15" t="s">
        <v>310</v>
      </c>
      <c r="N96" s="15"/>
      <c r="O96" s="15"/>
      <c r="P96" s="15" t="s">
        <v>79</v>
      </c>
      <c r="Q96" s="72">
        <v>1</v>
      </c>
      <c r="R96" s="15" t="s">
        <v>11</v>
      </c>
      <c r="S96" s="15" t="s">
        <v>55</v>
      </c>
      <c r="T96" s="15" t="s">
        <v>95</v>
      </c>
      <c r="U96" s="15" t="s">
        <v>57</v>
      </c>
      <c r="V96" s="15" t="s">
        <v>58</v>
      </c>
      <c r="W96" s="15" t="s">
        <v>308</v>
      </c>
      <c r="X96" s="15" t="s">
        <v>58</v>
      </c>
      <c r="Y96" s="15" t="s">
        <v>60</v>
      </c>
    </row>
    <row r="97" spans="2:25" ht="15" customHeight="1" x14ac:dyDescent="0.2">
      <c r="B97" s="15">
        <v>92</v>
      </c>
      <c r="C97" s="15" t="s">
        <v>46</v>
      </c>
      <c r="D97" s="15" t="s">
        <v>304</v>
      </c>
      <c r="E97" s="15" t="s">
        <v>48</v>
      </c>
      <c r="F97" s="15" t="s">
        <v>48</v>
      </c>
      <c r="G97" s="73">
        <v>1</v>
      </c>
      <c r="H97" s="15" t="s">
        <v>305</v>
      </c>
      <c r="I97" s="15" t="s">
        <v>298</v>
      </c>
      <c r="J97" s="12" t="s">
        <v>67</v>
      </c>
      <c r="K97" s="12" t="s">
        <v>46</v>
      </c>
      <c r="L97" s="15" t="s">
        <v>1261</v>
      </c>
      <c r="M97" s="15" t="s">
        <v>311</v>
      </c>
      <c r="N97" s="15"/>
      <c r="O97" s="15"/>
      <c r="P97" s="15" t="s">
        <v>79</v>
      </c>
      <c r="Q97" s="72">
        <v>2</v>
      </c>
      <c r="R97" s="15" t="s">
        <v>6</v>
      </c>
      <c r="S97" s="15" t="s">
        <v>55</v>
      </c>
      <c r="T97" s="15" t="s">
        <v>95</v>
      </c>
      <c r="U97" s="15" t="s">
        <v>57</v>
      </c>
      <c r="V97" s="15" t="s">
        <v>58</v>
      </c>
      <c r="W97" s="15" t="s">
        <v>308</v>
      </c>
      <c r="X97" s="15" t="s">
        <v>58</v>
      </c>
      <c r="Y97" s="15" t="s">
        <v>60</v>
      </c>
    </row>
    <row r="98" spans="2:25" ht="15" customHeight="1" x14ac:dyDescent="0.2">
      <c r="B98" s="15">
        <v>93</v>
      </c>
      <c r="C98" s="15" t="s">
        <v>46</v>
      </c>
      <c r="D98" s="15" t="s">
        <v>304</v>
      </c>
      <c r="E98" s="15" t="s">
        <v>48</v>
      </c>
      <c r="F98" s="15" t="s">
        <v>48</v>
      </c>
      <c r="G98" s="73">
        <v>1</v>
      </c>
      <c r="H98" s="15" t="s">
        <v>305</v>
      </c>
      <c r="I98" s="15" t="s">
        <v>298</v>
      </c>
      <c r="J98" s="12" t="s">
        <v>67</v>
      </c>
      <c r="K98" s="12" t="s">
        <v>312</v>
      </c>
      <c r="L98" s="15" t="s">
        <v>313</v>
      </c>
      <c r="M98" s="15" t="s">
        <v>311</v>
      </c>
      <c r="N98" s="15"/>
      <c r="O98" s="15"/>
      <c r="P98" s="15" t="s">
        <v>79</v>
      </c>
      <c r="Q98" s="72">
        <v>3</v>
      </c>
      <c r="R98" s="15" t="s">
        <v>6</v>
      </c>
      <c r="S98" s="15" t="s">
        <v>55</v>
      </c>
      <c r="T98" s="15" t="s">
        <v>95</v>
      </c>
      <c r="U98" s="15" t="s">
        <v>57</v>
      </c>
      <c r="V98" s="15" t="s">
        <v>58</v>
      </c>
      <c r="W98" s="15" t="s">
        <v>308</v>
      </c>
      <c r="X98" s="15" t="s">
        <v>58</v>
      </c>
      <c r="Y98" s="15" t="s">
        <v>60</v>
      </c>
    </row>
    <row r="99" spans="2:25" ht="15" customHeight="1" x14ac:dyDescent="0.2">
      <c r="B99" s="15">
        <v>94</v>
      </c>
      <c r="C99" s="15" t="s">
        <v>46</v>
      </c>
      <c r="D99" s="15" t="s">
        <v>304</v>
      </c>
      <c r="E99" s="15" t="s">
        <v>48</v>
      </c>
      <c r="F99" s="15" t="s">
        <v>48</v>
      </c>
      <c r="G99" s="73">
        <v>1</v>
      </c>
      <c r="H99" s="15" t="s">
        <v>305</v>
      </c>
      <c r="I99" s="15" t="s">
        <v>298</v>
      </c>
      <c r="J99" s="12" t="s">
        <v>67</v>
      </c>
      <c r="K99" s="12" t="s">
        <v>46</v>
      </c>
      <c r="L99" s="15" t="s">
        <v>314</v>
      </c>
      <c r="M99" s="15" t="s">
        <v>311</v>
      </c>
      <c r="N99" s="15"/>
      <c r="O99" s="15"/>
      <c r="P99" s="15" t="s">
        <v>79</v>
      </c>
      <c r="Q99" s="72">
        <v>1</v>
      </c>
      <c r="R99" s="15" t="s">
        <v>6</v>
      </c>
      <c r="S99" s="15" t="s">
        <v>55</v>
      </c>
      <c r="T99" s="15" t="s">
        <v>95</v>
      </c>
      <c r="U99" s="15" t="s">
        <v>57</v>
      </c>
      <c r="V99" s="15" t="s">
        <v>58</v>
      </c>
      <c r="W99" s="15" t="s">
        <v>308</v>
      </c>
      <c r="X99" s="15" t="s">
        <v>58</v>
      </c>
      <c r="Y99" s="15" t="s">
        <v>60</v>
      </c>
    </row>
    <row r="100" spans="2:25" ht="15" customHeight="1" x14ac:dyDescent="0.2">
      <c r="B100" s="15">
        <v>95</v>
      </c>
      <c r="C100" s="15" t="s">
        <v>46</v>
      </c>
      <c r="D100" s="15" t="s">
        <v>304</v>
      </c>
      <c r="E100" s="15" t="s">
        <v>48</v>
      </c>
      <c r="F100" s="15" t="s">
        <v>48</v>
      </c>
      <c r="G100" s="73">
        <v>1</v>
      </c>
      <c r="H100" s="15" t="s">
        <v>305</v>
      </c>
      <c r="I100" s="15" t="s">
        <v>298</v>
      </c>
      <c r="J100" s="12" t="s">
        <v>67</v>
      </c>
      <c r="K100" s="12" t="s">
        <v>46</v>
      </c>
      <c r="L100" s="15" t="s">
        <v>315</v>
      </c>
      <c r="M100" s="15" t="s">
        <v>316</v>
      </c>
      <c r="N100" s="15"/>
      <c r="O100" s="15"/>
      <c r="P100" s="15" t="s">
        <v>79</v>
      </c>
      <c r="Q100" s="72">
        <v>6</v>
      </c>
      <c r="R100" s="15" t="s">
        <v>6</v>
      </c>
      <c r="S100" s="15" t="s">
        <v>55</v>
      </c>
      <c r="T100" s="15" t="s">
        <v>95</v>
      </c>
      <c r="U100" s="15" t="s">
        <v>57</v>
      </c>
      <c r="V100" s="15" t="s">
        <v>58</v>
      </c>
      <c r="W100" s="15" t="s">
        <v>308</v>
      </c>
      <c r="X100" s="15" t="s">
        <v>58</v>
      </c>
      <c r="Y100" s="15" t="s">
        <v>60</v>
      </c>
    </row>
    <row r="101" spans="2:25" ht="15" customHeight="1" x14ac:dyDescent="0.2">
      <c r="B101" s="15">
        <v>96</v>
      </c>
      <c r="C101" s="15" t="s">
        <v>46</v>
      </c>
      <c r="D101" s="15" t="s">
        <v>317</v>
      </c>
      <c r="E101" s="15" t="s">
        <v>48</v>
      </c>
      <c r="F101" s="15" t="s">
        <v>48</v>
      </c>
      <c r="G101" s="73">
        <v>2</v>
      </c>
      <c r="H101" s="15" t="s">
        <v>318</v>
      </c>
      <c r="I101" s="15" t="s">
        <v>298</v>
      </c>
      <c r="J101" s="12" t="s">
        <v>67</v>
      </c>
      <c r="K101" s="12" t="s">
        <v>46</v>
      </c>
      <c r="L101" s="15" t="s">
        <v>319</v>
      </c>
      <c r="M101" s="15"/>
      <c r="N101" s="15"/>
      <c r="O101" s="15"/>
      <c r="P101" s="15" t="s">
        <v>79</v>
      </c>
      <c r="Q101" s="72">
        <v>12</v>
      </c>
      <c r="R101" s="15" t="s">
        <v>6</v>
      </c>
      <c r="S101" s="15" t="s">
        <v>55</v>
      </c>
      <c r="T101" s="15" t="s">
        <v>95</v>
      </c>
      <c r="U101" s="15" t="s">
        <v>57</v>
      </c>
      <c r="V101" s="15" t="s">
        <v>58</v>
      </c>
      <c r="W101" s="15" t="s">
        <v>320</v>
      </c>
      <c r="X101" s="15" t="s">
        <v>58</v>
      </c>
      <c r="Y101" s="15" t="s">
        <v>60</v>
      </c>
    </row>
    <row r="102" spans="2:25" ht="15" customHeight="1" x14ac:dyDescent="0.2">
      <c r="B102" s="15">
        <v>97</v>
      </c>
      <c r="C102" s="15" t="s">
        <v>46</v>
      </c>
      <c r="D102" s="15" t="s">
        <v>317</v>
      </c>
      <c r="E102" s="15" t="s">
        <v>48</v>
      </c>
      <c r="F102" s="15" t="s">
        <v>48</v>
      </c>
      <c r="G102" s="73">
        <v>2</v>
      </c>
      <c r="H102" s="15" t="s">
        <v>318</v>
      </c>
      <c r="I102" s="15" t="s">
        <v>298</v>
      </c>
      <c r="J102" s="12" t="s">
        <v>67</v>
      </c>
      <c r="K102" s="12" t="s">
        <v>46</v>
      </c>
      <c r="L102" s="15" t="s">
        <v>321</v>
      </c>
      <c r="M102" s="15"/>
      <c r="N102" s="15"/>
      <c r="O102" s="15"/>
      <c r="P102" s="15" t="s">
        <v>79</v>
      </c>
      <c r="Q102" s="72">
        <v>1</v>
      </c>
      <c r="R102" s="15" t="s">
        <v>6</v>
      </c>
      <c r="S102" s="15" t="s">
        <v>55</v>
      </c>
      <c r="T102" s="15" t="s">
        <v>95</v>
      </c>
      <c r="U102" s="15" t="s">
        <v>57</v>
      </c>
      <c r="V102" s="15" t="s">
        <v>58</v>
      </c>
      <c r="W102" s="15" t="s">
        <v>320</v>
      </c>
      <c r="X102" s="15" t="s">
        <v>58</v>
      </c>
      <c r="Y102" s="15" t="s">
        <v>60</v>
      </c>
    </row>
    <row r="103" spans="2:25" ht="15" customHeight="1" x14ac:dyDescent="0.2">
      <c r="B103" s="15">
        <v>98</v>
      </c>
      <c r="C103" s="15" t="s">
        <v>46</v>
      </c>
      <c r="D103" s="15" t="s">
        <v>317</v>
      </c>
      <c r="E103" s="15" t="s">
        <v>48</v>
      </c>
      <c r="F103" s="15" t="s">
        <v>48</v>
      </c>
      <c r="G103" s="73">
        <v>2</v>
      </c>
      <c r="H103" s="15" t="s">
        <v>318</v>
      </c>
      <c r="I103" s="15" t="s">
        <v>298</v>
      </c>
      <c r="J103" s="12" t="s">
        <v>67</v>
      </c>
      <c r="K103" s="12" t="s">
        <v>46</v>
      </c>
      <c r="L103" s="15" t="s">
        <v>322</v>
      </c>
      <c r="M103" s="15"/>
      <c r="N103" s="15"/>
      <c r="O103" s="15"/>
      <c r="P103" s="15" t="s">
        <v>79</v>
      </c>
      <c r="Q103" s="72">
        <v>2</v>
      </c>
      <c r="R103" s="15" t="s">
        <v>6</v>
      </c>
      <c r="S103" s="15" t="s">
        <v>55</v>
      </c>
      <c r="T103" s="15" t="s">
        <v>95</v>
      </c>
      <c r="U103" s="15" t="s">
        <v>57</v>
      </c>
      <c r="V103" s="15" t="s">
        <v>58</v>
      </c>
      <c r="W103" s="15" t="s">
        <v>320</v>
      </c>
      <c r="X103" s="15" t="s">
        <v>58</v>
      </c>
      <c r="Y103" s="15" t="s">
        <v>60</v>
      </c>
    </row>
    <row r="104" spans="2:25" ht="15" customHeight="1" x14ac:dyDescent="0.2">
      <c r="B104" s="15">
        <v>99</v>
      </c>
      <c r="C104" s="15" t="s">
        <v>46</v>
      </c>
      <c r="D104" s="15" t="s">
        <v>317</v>
      </c>
      <c r="E104" s="15" t="s">
        <v>48</v>
      </c>
      <c r="F104" s="15" t="s">
        <v>48</v>
      </c>
      <c r="G104" s="73">
        <v>2</v>
      </c>
      <c r="H104" s="15" t="s">
        <v>318</v>
      </c>
      <c r="I104" s="15" t="s">
        <v>298</v>
      </c>
      <c r="J104" s="12" t="s">
        <v>67</v>
      </c>
      <c r="K104" s="12" t="s">
        <v>46</v>
      </c>
      <c r="L104" s="15" t="s">
        <v>323</v>
      </c>
      <c r="M104" s="15"/>
      <c r="N104" s="15"/>
      <c r="O104" s="15"/>
      <c r="P104" s="15" t="s">
        <v>79</v>
      </c>
      <c r="Q104" s="72">
        <v>2</v>
      </c>
      <c r="R104" s="15" t="s">
        <v>6</v>
      </c>
      <c r="S104" s="15" t="s">
        <v>55</v>
      </c>
      <c r="T104" s="15" t="s">
        <v>95</v>
      </c>
      <c r="U104" s="15" t="s">
        <v>57</v>
      </c>
      <c r="V104" s="15" t="s">
        <v>58</v>
      </c>
      <c r="W104" s="15" t="s">
        <v>320</v>
      </c>
      <c r="X104" s="15" t="s">
        <v>58</v>
      </c>
      <c r="Y104" s="15" t="s">
        <v>60</v>
      </c>
    </row>
    <row r="105" spans="2:25" ht="15" customHeight="1" x14ac:dyDescent="0.2">
      <c r="B105" s="15">
        <v>100</v>
      </c>
      <c r="C105" s="15" t="s">
        <v>46</v>
      </c>
      <c r="D105" s="15" t="s">
        <v>317</v>
      </c>
      <c r="E105" s="15" t="s">
        <v>48</v>
      </c>
      <c r="F105" s="15" t="s">
        <v>48</v>
      </c>
      <c r="G105" s="73">
        <v>2</v>
      </c>
      <c r="H105" s="15" t="s">
        <v>318</v>
      </c>
      <c r="I105" s="15" t="s">
        <v>298</v>
      </c>
      <c r="J105" s="12" t="s">
        <v>67</v>
      </c>
      <c r="K105" s="12" t="s">
        <v>46</v>
      </c>
      <c r="L105" s="15" t="s">
        <v>324</v>
      </c>
      <c r="M105" s="15"/>
      <c r="N105" s="15"/>
      <c r="O105" s="15"/>
      <c r="P105" s="15" t="s">
        <v>79</v>
      </c>
      <c r="Q105" s="72">
        <v>1</v>
      </c>
      <c r="R105" s="15" t="s">
        <v>6</v>
      </c>
      <c r="S105" s="15" t="s">
        <v>55</v>
      </c>
      <c r="T105" s="15" t="s">
        <v>95</v>
      </c>
      <c r="U105" s="15" t="s">
        <v>57</v>
      </c>
      <c r="V105" s="15" t="s">
        <v>58</v>
      </c>
      <c r="W105" s="15" t="s">
        <v>320</v>
      </c>
      <c r="X105" s="15" t="s">
        <v>58</v>
      </c>
      <c r="Y105" s="15" t="s">
        <v>60</v>
      </c>
    </row>
    <row r="106" spans="2:25" ht="15" customHeight="1" x14ac:dyDescent="0.2">
      <c r="B106" s="15">
        <v>101</v>
      </c>
      <c r="C106" s="15" t="s">
        <v>46</v>
      </c>
      <c r="D106" s="15" t="s">
        <v>317</v>
      </c>
      <c r="E106" s="15" t="s">
        <v>48</v>
      </c>
      <c r="F106" s="15" t="s">
        <v>48</v>
      </c>
      <c r="G106" s="73">
        <v>2</v>
      </c>
      <c r="H106" s="15" t="s">
        <v>318</v>
      </c>
      <c r="I106" s="15" t="s">
        <v>298</v>
      </c>
      <c r="J106" s="12" t="s">
        <v>67</v>
      </c>
      <c r="K106" s="12" t="s">
        <v>46</v>
      </c>
      <c r="L106" s="15" t="s">
        <v>325</v>
      </c>
      <c r="M106" s="15"/>
      <c r="N106" s="15"/>
      <c r="O106" s="15"/>
      <c r="P106" s="15" t="s">
        <v>79</v>
      </c>
      <c r="Q106" s="72">
        <v>5</v>
      </c>
      <c r="R106" s="15" t="s">
        <v>6</v>
      </c>
      <c r="S106" s="15" t="s">
        <v>55</v>
      </c>
      <c r="T106" s="15" t="s">
        <v>95</v>
      </c>
      <c r="U106" s="15" t="s">
        <v>57</v>
      </c>
      <c r="V106" s="15" t="s">
        <v>58</v>
      </c>
      <c r="W106" s="15" t="s">
        <v>320</v>
      </c>
      <c r="X106" s="15" t="s">
        <v>58</v>
      </c>
      <c r="Y106" s="15" t="s">
        <v>60</v>
      </c>
    </row>
    <row r="107" spans="2:25" ht="15" customHeight="1" x14ac:dyDescent="0.2">
      <c r="B107" s="15">
        <v>102</v>
      </c>
      <c r="C107" s="15" t="s">
        <v>46</v>
      </c>
      <c r="D107" s="15" t="s">
        <v>317</v>
      </c>
      <c r="E107" s="15" t="s">
        <v>48</v>
      </c>
      <c r="F107" s="15" t="s">
        <v>48</v>
      </c>
      <c r="G107" s="73">
        <v>2</v>
      </c>
      <c r="H107" s="15" t="s">
        <v>318</v>
      </c>
      <c r="I107" s="15" t="s">
        <v>298</v>
      </c>
      <c r="J107" s="12" t="s">
        <v>67</v>
      </c>
      <c r="K107" s="12" t="s">
        <v>46</v>
      </c>
      <c r="L107" s="15" t="s">
        <v>326</v>
      </c>
      <c r="M107" s="15"/>
      <c r="N107" s="15"/>
      <c r="O107" s="15"/>
      <c r="P107" s="15" t="s">
        <v>79</v>
      </c>
      <c r="Q107" s="72">
        <v>5</v>
      </c>
      <c r="R107" s="15" t="s">
        <v>6</v>
      </c>
      <c r="S107" s="15" t="s">
        <v>55</v>
      </c>
      <c r="T107" s="15" t="s">
        <v>95</v>
      </c>
      <c r="U107" s="15" t="s">
        <v>57</v>
      </c>
      <c r="V107" s="15" t="s">
        <v>58</v>
      </c>
      <c r="W107" s="15" t="s">
        <v>320</v>
      </c>
      <c r="X107" s="15" t="s">
        <v>58</v>
      </c>
      <c r="Y107" s="15" t="s">
        <v>60</v>
      </c>
    </row>
    <row r="108" spans="2:25" ht="15" customHeight="1" x14ac:dyDescent="0.2">
      <c r="B108" s="15">
        <v>103</v>
      </c>
      <c r="C108" s="15" t="s">
        <v>46</v>
      </c>
      <c r="D108" s="15" t="s">
        <v>327</v>
      </c>
      <c r="E108" s="15" t="s">
        <v>48</v>
      </c>
      <c r="F108" s="15" t="s">
        <v>48</v>
      </c>
      <c r="G108" s="73">
        <v>2</v>
      </c>
      <c r="H108" s="15" t="s">
        <v>328</v>
      </c>
      <c r="I108" s="15" t="s">
        <v>298</v>
      </c>
      <c r="J108" s="12" t="s">
        <v>67</v>
      </c>
      <c r="K108" s="12" t="s">
        <v>46</v>
      </c>
      <c r="L108" s="15" t="s">
        <v>329</v>
      </c>
      <c r="M108" s="15" t="s">
        <v>330</v>
      </c>
      <c r="N108" s="15" t="s">
        <v>331</v>
      </c>
      <c r="O108" s="15" t="s">
        <v>332</v>
      </c>
      <c r="P108" s="15" t="s">
        <v>79</v>
      </c>
      <c r="Q108" s="72">
        <v>1</v>
      </c>
      <c r="R108" s="15" t="s">
        <v>6</v>
      </c>
      <c r="S108" s="15" t="s">
        <v>55</v>
      </c>
      <c r="T108" s="15" t="s">
        <v>244</v>
      </c>
      <c r="U108" s="15" t="s">
        <v>57</v>
      </c>
      <c r="V108" s="15" t="s">
        <v>58</v>
      </c>
      <c r="W108" s="15" t="s">
        <v>90</v>
      </c>
      <c r="X108" s="15" t="s">
        <v>58</v>
      </c>
      <c r="Y108" s="15" t="s">
        <v>60</v>
      </c>
    </row>
    <row r="109" spans="2:25" ht="15" customHeight="1" x14ac:dyDescent="0.2">
      <c r="B109" s="15">
        <v>104</v>
      </c>
      <c r="C109" s="15" t="s">
        <v>46</v>
      </c>
      <c r="D109" s="15" t="s">
        <v>333</v>
      </c>
      <c r="E109" s="15" t="s">
        <v>48</v>
      </c>
      <c r="F109" s="15" t="s">
        <v>48</v>
      </c>
      <c r="G109" s="73">
        <v>2</v>
      </c>
      <c r="H109" s="15" t="s">
        <v>334</v>
      </c>
      <c r="I109" s="15" t="s">
        <v>298</v>
      </c>
      <c r="J109" s="12" t="s">
        <v>255</v>
      </c>
      <c r="K109" s="12" t="s">
        <v>46</v>
      </c>
      <c r="L109" s="15" t="s">
        <v>335</v>
      </c>
      <c r="M109" s="15" t="s">
        <v>336</v>
      </c>
      <c r="N109" s="15"/>
      <c r="O109" s="15"/>
      <c r="P109" s="15" t="s">
        <v>79</v>
      </c>
      <c r="Q109" s="72">
        <v>2</v>
      </c>
      <c r="R109" s="15" t="s">
        <v>6</v>
      </c>
      <c r="S109" s="15" t="s">
        <v>55</v>
      </c>
      <c r="T109" s="15" t="s">
        <v>95</v>
      </c>
      <c r="U109" s="15" t="s">
        <v>57</v>
      </c>
      <c r="V109" s="15" t="s">
        <v>58</v>
      </c>
      <c r="W109" s="15" t="s">
        <v>90</v>
      </c>
      <c r="X109" s="15" t="s">
        <v>58</v>
      </c>
      <c r="Y109" s="15" t="s">
        <v>60</v>
      </c>
    </row>
    <row r="110" spans="2:25" ht="15" customHeight="1" x14ac:dyDescent="0.2">
      <c r="B110" s="15">
        <v>105</v>
      </c>
      <c r="C110" s="15" t="s">
        <v>46</v>
      </c>
      <c r="D110" s="15" t="s">
        <v>333</v>
      </c>
      <c r="E110" s="15" t="s">
        <v>48</v>
      </c>
      <c r="F110" s="15" t="s">
        <v>48</v>
      </c>
      <c r="G110" s="73">
        <v>2</v>
      </c>
      <c r="H110" s="15" t="s">
        <v>334</v>
      </c>
      <c r="I110" s="15" t="s">
        <v>298</v>
      </c>
      <c r="J110" s="12" t="s">
        <v>255</v>
      </c>
      <c r="K110" s="12" t="s">
        <v>46</v>
      </c>
      <c r="L110" s="15" t="s">
        <v>337</v>
      </c>
      <c r="M110" s="15"/>
      <c r="N110" s="15"/>
      <c r="O110" s="15"/>
      <c r="P110" s="15" t="s">
        <v>79</v>
      </c>
      <c r="Q110" s="72">
        <v>2</v>
      </c>
      <c r="R110" s="15" t="s">
        <v>6</v>
      </c>
      <c r="S110" s="15" t="s">
        <v>55</v>
      </c>
      <c r="T110" s="15" t="s">
        <v>95</v>
      </c>
      <c r="U110" s="15" t="s">
        <v>57</v>
      </c>
      <c r="V110" s="15" t="s">
        <v>58</v>
      </c>
      <c r="W110" s="15" t="s">
        <v>90</v>
      </c>
      <c r="X110" s="15" t="s">
        <v>58</v>
      </c>
      <c r="Y110" s="15" t="s">
        <v>60</v>
      </c>
    </row>
    <row r="111" spans="2:25" ht="15" customHeight="1" x14ac:dyDescent="0.2">
      <c r="B111" s="15">
        <v>106</v>
      </c>
      <c r="C111" s="15" t="s">
        <v>46</v>
      </c>
      <c r="D111" s="15" t="s">
        <v>333</v>
      </c>
      <c r="E111" s="15" t="s">
        <v>48</v>
      </c>
      <c r="F111" s="15" t="s">
        <v>48</v>
      </c>
      <c r="G111" s="73">
        <v>2</v>
      </c>
      <c r="H111" s="15" t="s">
        <v>334</v>
      </c>
      <c r="I111" s="15" t="s">
        <v>298</v>
      </c>
      <c r="J111" s="12" t="s">
        <v>255</v>
      </c>
      <c r="K111" s="12" t="s">
        <v>46</v>
      </c>
      <c r="L111" s="15" t="s">
        <v>338</v>
      </c>
      <c r="M111" s="15" t="s">
        <v>339</v>
      </c>
      <c r="N111" s="15"/>
      <c r="O111" s="15"/>
      <c r="P111" s="15" t="s">
        <v>79</v>
      </c>
      <c r="Q111" s="72">
        <v>1</v>
      </c>
      <c r="R111" s="15" t="s">
        <v>6</v>
      </c>
      <c r="S111" s="15" t="s">
        <v>55</v>
      </c>
      <c r="T111" s="15" t="s">
        <v>95</v>
      </c>
      <c r="U111" s="15" t="s">
        <v>57</v>
      </c>
      <c r="V111" s="15" t="s">
        <v>58</v>
      </c>
      <c r="W111" s="15" t="s">
        <v>90</v>
      </c>
      <c r="X111" s="15" t="s">
        <v>58</v>
      </c>
      <c r="Y111" s="15" t="s">
        <v>60</v>
      </c>
    </row>
    <row r="112" spans="2:25" ht="15" customHeight="1" x14ac:dyDescent="0.2">
      <c r="B112" s="15">
        <v>107</v>
      </c>
      <c r="C112" s="15" t="s">
        <v>46</v>
      </c>
      <c r="D112" s="15" t="s">
        <v>333</v>
      </c>
      <c r="E112" s="15" t="s">
        <v>48</v>
      </c>
      <c r="F112" s="15" t="s">
        <v>48</v>
      </c>
      <c r="G112" s="73">
        <v>2</v>
      </c>
      <c r="H112" s="15" t="s">
        <v>334</v>
      </c>
      <c r="I112" s="15" t="s">
        <v>298</v>
      </c>
      <c r="J112" s="12" t="s">
        <v>255</v>
      </c>
      <c r="K112" s="12" t="s">
        <v>46</v>
      </c>
      <c r="L112" s="15" t="s">
        <v>340</v>
      </c>
      <c r="M112" s="15"/>
      <c r="N112" s="15"/>
      <c r="O112" s="15"/>
      <c r="P112" s="15" t="s">
        <v>79</v>
      </c>
      <c r="Q112" s="72">
        <v>2</v>
      </c>
      <c r="R112" s="15" t="s">
        <v>180</v>
      </c>
      <c r="S112" s="15" t="s">
        <v>55</v>
      </c>
      <c r="T112" s="15" t="s">
        <v>95</v>
      </c>
      <c r="U112" s="15" t="s">
        <v>57</v>
      </c>
      <c r="V112" s="15" t="s">
        <v>58</v>
      </c>
      <c r="W112" s="15" t="s">
        <v>90</v>
      </c>
      <c r="X112" s="15" t="s">
        <v>58</v>
      </c>
      <c r="Y112" s="15" t="s">
        <v>60</v>
      </c>
    </row>
    <row r="113" spans="2:25" ht="15" customHeight="1" x14ac:dyDescent="0.2">
      <c r="B113" s="15">
        <v>108</v>
      </c>
      <c r="C113" s="15" t="s">
        <v>46</v>
      </c>
      <c r="D113" s="15" t="s">
        <v>341</v>
      </c>
      <c r="E113" s="15" t="s">
        <v>48</v>
      </c>
      <c r="F113" s="15" t="s">
        <v>48</v>
      </c>
      <c r="G113" s="73">
        <v>3</v>
      </c>
      <c r="H113" s="15" t="s">
        <v>342</v>
      </c>
      <c r="I113" s="15" t="s">
        <v>298</v>
      </c>
      <c r="J113" s="12" t="s">
        <v>67</v>
      </c>
      <c r="K113" s="12" t="s">
        <v>46</v>
      </c>
      <c r="L113" s="15" t="s">
        <v>343</v>
      </c>
      <c r="M113" s="15"/>
      <c r="N113" s="15"/>
      <c r="O113" s="15"/>
      <c r="P113" s="15" t="s">
        <v>79</v>
      </c>
      <c r="Q113" s="72">
        <v>1</v>
      </c>
      <c r="R113" s="15" t="s">
        <v>6</v>
      </c>
      <c r="S113" s="15" t="s">
        <v>232</v>
      </c>
      <c r="T113" s="15" t="s">
        <v>244</v>
      </c>
      <c r="U113" s="15" t="s">
        <v>57</v>
      </c>
      <c r="V113" s="15" t="s">
        <v>58</v>
      </c>
      <c r="W113" s="15" t="s">
        <v>344</v>
      </c>
      <c r="X113" s="15" t="s">
        <v>58</v>
      </c>
      <c r="Y113" s="15" t="s">
        <v>60</v>
      </c>
    </row>
    <row r="114" spans="2:25" ht="15" customHeight="1" x14ac:dyDescent="0.2">
      <c r="B114" s="15">
        <v>109</v>
      </c>
      <c r="C114" s="15" t="s">
        <v>46</v>
      </c>
      <c r="D114" s="15" t="s">
        <v>345</v>
      </c>
      <c r="E114" s="15" t="s">
        <v>48</v>
      </c>
      <c r="F114" s="15" t="s">
        <v>48</v>
      </c>
      <c r="G114" s="73">
        <v>3</v>
      </c>
      <c r="H114" s="15" t="s">
        <v>346</v>
      </c>
      <c r="I114" s="15" t="s">
        <v>298</v>
      </c>
      <c r="J114" s="12" t="s">
        <v>67</v>
      </c>
      <c r="K114" s="12" t="s">
        <v>347</v>
      </c>
      <c r="L114" s="15" t="s">
        <v>348</v>
      </c>
      <c r="M114" s="15"/>
      <c r="N114" s="15"/>
      <c r="O114" s="15"/>
      <c r="P114" s="15" t="s">
        <v>79</v>
      </c>
      <c r="Q114" s="72">
        <v>3</v>
      </c>
      <c r="R114" s="15" t="s">
        <v>349</v>
      </c>
      <c r="S114" s="15" t="s">
        <v>55</v>
      </c>
      <c r="T114" s="15" t="s">
        <v>95</v>
      </c>
      <c r="U114" s="15" t="s">
        <v>57</v>
      </c>
      <c r="V114" s="15" t="s">
        <v>58</v>
      </c>
      <c r="W114" s="15" t="s">
        <v>350</v>
      </c>
      <c r="X114" s="15" t="s">
        <v>58</v>
      </c>
      <c r="Y114" s="15" t="s">
        <v>60</v>
      </c>
    </row>
    <row r="115" spans="2:25" ht="15" customHeight="1" x14ac:dyDescent="0.2">
      <c r="B115" s="15">
        <v>110</v>
      </c>
      <c r="C115" s="15" t="s">
        <v>46</v>
      </c>
      <c r="D115" s="15" t="s">
        <v>345</v>
      </c>
      <c r="E115" s="15" t="s">
        <v>48</v>
      </c>
      <c r="F115" s="15" t="s">
        <v>48</v>
      </c>
      <c r="G115" s="73">
        <v>3</v>
      </c>
      <c r="H115" s="15" t="s">
        <v>346</v>
      </c>
      <c r="I115" s="15" t="s">
        <v>298</v>
      </c>
      <c r="J115" s="12" t="s">
        <v>67</v>
      </c>
      <c r="K115" s="12" t="s">
        <v>347</v>
      </c>
      <c r="L115" s="15" t="s">
        <v>351</v>
      </c>
      <c r="M115" s="15" t="s">
        <v>352</v>
      </c>
      <c r="N115" s="15"/>
      <c r="O115" s="15"/>
      <c r="P115" s="15" t="s">
        <v>79</v>
      </c>
      <c r="Q115" s="72">
        <v>2</v>
      </c>
      <c r="R115" s="15" t="s">
        <v>6</v>
      </c>
      <c r="S115" s="15" t="s">
        <v>55</v>
      </c>
      <c r="T115" s="15" t="s">
        <v>95</v>
      </c>
      <c r="U115" s="15" t="s">
        <v>57</v>
      </c>
      <c r="V115" s="15" t="s">
        <v>58</v>
      </c>
      <c r="W115" s="15" t="s">
        <v>350</v>
      </c>
      <c r="X115" s="15" t="s">
        <v>58</v>
      </c>
      <c r="Y115" s="15" t="s">
        <v>60</v>
      </c>
    </row>
    <row r="116" spans="2:25" ht="15" customHeight="1" x14ac:dyDescent="0.2">
      <c r="B116" s="15">
        <v>111</v>
      </c>
      <c r="C116" s="15" t="s">
        <v>46</v>
      </c>
      <c r="D116" s="15" t="s">
        <v>353</v>
      </c>
      <c r="E116" s="15" t="s">
        <v>48</v>
      </c>
      <c r="F116" s="15" t="s">
        <v>48</v>
      </c>
      <c r="G116" s="73">
        <v>3</v>
      </c>
      <c r="H116" s="15" t="s">
        <v>346</v>
      </c>
      <c r="I116" s="15" t="s">
        <v>298</v>
      </c>
      <c r="J116" s="12" t="s">
        <v>67</v>
      </c>
      <c r="K116" s="12" t="s">
        <v>46</v>
      </c>
      <c r="L116" s="15" t="s">
        <v>343</v>
      </c>
      <c r="M116" s="15"/>
      <c r="N116" s="15"/>
      <c r="O116" s="15"/>
      <c r="P116" s="15" t="s">
        <v>79</v>
      </c>
      <c r="Q116" s="72">
        <v>1</v>
      </c>
      <c r="R116" s="15" t="s">
        <v>6</v>
      </c>
      <c r="S116" s="15" t="s">
        <v>232</v>
      </c>
      <c r="T116" s="15" t="s">
        <v>95</v>
      </c>
      <c r="U116" s="15" t="s">
        <v>57</v>
      </c>
      <c r="V116" s="15" t="s">
        <v>58</v>
      </c>
      <c r="W116" s="15" t="s">
        <v>354</v>
      </c>
      <c r="X116" s="15" t="s">
        <v>58</v>
      </c>
      <c r="Y116" s="15" t="s">
        <v>60</v>
      </c>
    </row>
    <row r="117" spans="2:25" ht="15" customHeight="1" x14ac:dyDescent="0.2">
      <c r="B117" s="15">
        <v>112</v>
      </c>
      <c r="C117" s="15" t="s">
        <v>46</v>
      </c>
      <c r="D117" s="15" t="s">
        <v>355</v>
      </c>
      <c r="E117" s="15" t="s">
        <v>48</v>
      </c>
      <c r="F117" s="15" t="s">
        <v>48</v>
      </c>
      <c r="G117" s="73">
        <v>3</v>
      </c>
      <c r="H117" s="15" t="s">
        <v>356</v>
      </c>
      <c r="I117" s="15" t="s">
        <v>298</v>
      </c>
      <c r="J117" s="12" t="s">
        <v>67</v>
      </c>
      <c r="K117" s="12" t="s">
        <v>46</v>
      </c>
      <c r="L117" s="15" t="s">
        <v>833</v>
      </c>
      <c r="M117" s="15"/>
      <c r="N117" s="15"/>
      <c r="O117" s="15"/>
      <c r="P117" s="15" t="s">
        <v>79</v>
      </c>
      <c r="Q117" s="72">
        <v>4</v>
      </c>
      <c r="R117" s="15" t="s">
        <v>186</v>
      </c>
      <c r="S117" s="15" t="s">
        <v>55</v>
      </c>
      <c r="T117" s="15" t="s">
        <v>95</v>
      </c>
      <c r="U117" s="15" t="s">
        <v>57</v>
      </c>
      <c r="V117" s="15" t="s">
        <v>58</v>
      </c>
      <c r="W117" s="15" t="s">
        <v>357</v>
      </c>
      <c r="X117" s="15" t="s">
        <v>58</v>
      </c>
      <c r="Y117" s="15" t="s">
        <v>60</v>
      </c>
    </row>
    <row r="118" spans="2:25" ht="15" customHeight="1" x14ac:dyDescent="0.2">
      <c r="B118" s="15">
        <v>113</v>
      </c>
      <c r="C118" s="15" t="s">
        <v>46</v>
      </c>
      <c r="D118" s="15" t="s">
        <v>355</v>
      </c>
      <c r="E118" s="15" t="s">
        <v>48</v>
      </c>
      <c r="F118" s="15" t="s">
        <v>48</v>
      </c>
      <c r="G118" s="73">
        <v>3</v>
      </c>
      <c r="H118" s="15" t="s">
        <v>356</v>
      </c>
      <c r="I118" s="15" t="s">
        <v>298</v>
      </c>
      <c r="J118" s="12" t="s">
        <v>67</v>
      </c>
      <c r="K118" s="12" t="s">
        <v>46</v>
      </c>
      <c r="L118" s="15" t="s">
        <v>358</v>
      </c>
      <c r="M118" s="15"/>
      <c r="N118" s="15"/>
      <c r="O118" s="15"/>
      <c r="P118" s="15" t="s">
        <v>79</v>
      </c>
      <c r="Q118" s="72">
        <v>60</v>
      </c>
      <c r="R118" s="15" t="s">
        <v>186</v>
      </c>
      <c r="S118" s="15" t="s">
        <v>55</v>
      </c>
      <c r="T118" s="15" t="s">
        <v>95</v>
      </c>
      <c r="U118" s="15" t="s">
        <v>57</v>
      </c>
      <c r="V118" s="15" t="s">
        <v>58</v>
      </c>
      <c r="W118" s="15" t="s">
        <v>357</v>
      </c>
      <c r="X118" s="15" t="s">
        <v>58</v>
      </c>
      <c r="Y118" s="15" t="s">
        <v>60</v>
      </c>
    </row>
    <row r="119" spans="2:25" ht="15" customHeight="1" x14ac:dyDescent="0.2">
      <c r="B119" s="15">
        <v>114</v>
      </c>
      <c r="C119" s="15" t="s">
        <v>46</v>
      </c>
      <c r="D119" s="15" t="s">
        <v>359</v>
      </c>
      <c r="E119" s="15" t="s">
        <v>48</v>
      </c>
      <c r="F119" s="15" t="s">
        <v>48</v>
      </c>
      <c r="G119" s="73">
        <v>3</v>
      </c>
      <c r="H119" s="15" t="s">
        <v>360</v>
      </c>
      <c r="I119" s="15" t="s">
        <v>298</v>
      </c>
      <c r="J119" s="12" t="s">
        <v>67</v>
      </c>
      <c r="K119" s="12" t="s">
        <v>46</v>
      </c>
      <c r="L119" s="15" t="s">
        <v>361</v>
      </c>
      <c r="M119" s="15" t="s">
        <v>362</v>
      </c>
      <c r="N119" s="15"/>
      <c r="O119" s="15"/>
      <c r="P119" s="15" t="s">
        <v>79</v>
      </c>
      <c r="Q119" s="72">
        <v>2</v>
      </c>
      <c r="R119" s="15" t="s">
        <v>6</v>
      </c>
      <c r="S119" s="15" t="s">
        <v>55</v>
      </c>
      <c r="T119" s="15" t="s">
        <v>125</v>
      </c>
      <c r="U119" s="15" t="s">
        <v>57</v>
      </c>
      <c r="V119" s="15" t="s">
        <v>58</v>
      </c>
      <c r="W119" s="15" t="s">
        <v>363</v>
      </c>
      <c r="X119" s="15" t="s">
        <v>58</v>
      </c>
      <c r="Y119" s="15" t="s">
        <v>60</v>
      </c>
    </row>
    <row r="120" spans="2:25" ht="15" customHeight="1" x14ac:dyDescent="0.2">
      <c r="B120" s="15">
        <v>115</v>
      </c>
      <c r="C120" s="15" t="s">
        <v>46</v>
      </c>
      <c r="D120" s="15" t="s">
        <v>359</v>
      </c>
      <c r="E120" s="15" t="s">
        <v>48</v>
      </c>
      <c r="F120" s="15" t="s">
        <v>48</v>
      </c>
      <c r="G120" s="73">
        <v>3</v>
      </c>
      <c r="H120" s="15" t="s">
        <v>360</v>
      </c>
      <c r="I120" s="15" t="s">
        <v>298</v>
      </c>
      <c r="J120" s="12" t="s">
        <v>67</v>
      </c>
      <c r="K120" s="12" t="s">
        <v>46</v>
      </c>
      <c r="L120" s="15" t="s">
        <v>364</v>
      </c>
      <c r="M120" s="15" t="s">
        <v>362</v>
      </c>
      <c r="N120" s="15"/>
      <c r="O120" s="15"/>
      <c r="P120" s="15" t="s">
        <v>79</v>
      </c>
      <c r="Q120" s="72">
        <v>3</v>
      </c>
      <c r="R120" s="15" t="s">
        <v>6</v>
      </c>
      <c r="S120" s="15" t="s">
        <v>55</v>
      </c>
      <c r="T120" s="15" t="s">
        <v>125</v>
      </c>
      <c r="U120" s="15" t="s">
        <v>57</v>
      </c>
      <c r="V120" s="15" t="s">
        <v>58</v>
      </c>
      <c r="W120" s="15" t="s">
        <v>363</v>
      </c>
      <c r="X120" s="15" t="s">
        <v>58</v>
      </c>
      <c r="Y120" s="15" t="s">
        <v>60</v>
      </c>
    </row>
    <row r="121" spans="2:25" ht="15" customHeight="1" x14ac:dyDescent="0.2">
      <c r="B121" s="15">
        <v>116</v>
      </c>
      <c r="C121" s="15" t="s">
        <v>46</v>
      </c>
      <c r="D121" s="15" t="s">
        <v>359</v>
      </c>
      <c r="E121" s="15" t="s">
        <v>48</v>
      </c>
      <c r="F121" s="15" t="s">
        <v>48</v>
      </c>
      <c r="G121" s="73">
        <v>3</v>
      </c>
      <c r="H121" s="15" t="s">
        <v>360</v>
      </c>
      <c r="I121" s="15" t="s">
        <v>298</v>
      </c>
      <c r="J121" s="12" t="s">
        <v>67</v>
      </c>
      <c r="K121" s="12" t="s">
        <v>46</v>
      </c>
      <c r="L121" s="15" t="s">
        <v>365</v>
      </c>
      <c r="M121" s="15" t="s">
        <v>362</v>
      </c>
      <c r="N121" s="15"/>
      <c r="O121" s="15"/>
      <c r="P121" s="15" t="s">
        <v>79</v>
      </c>
      <c r="Q121" s="72">
        <v>4</v>
      </c>
      <c r="R121" s="15" t="s">
        <v>6</v>
      </c>
      <c r="S121" s="15" t="s">
        <v>55</v>
      </c>
      <c r="T121" s="15" t="s">
        <v>125</v>
      </c>
      <c r="U121" s="15" t="s">
        <v>57</v>
      </c>
      <c r="V121" s="15" t="s">
        <v>58</v>
      </c>
      <c r="W121" s="15" t="s">
        <v>363</v>
      </c>
      <c r="X121" s="15" t="s">
        <v>58</v>
      </c>
      <c r="Y121" s="15" t="s">
        <v>60</v>
      </c>
    </row>
    <row r="122" spans="2:25" ht="15" customHeight="1" x14ac:dyDescent="0.2">
      <c r="B122" s="15">
        <v>117</v>
      </c>
      <c r="C122" s="15" t="s">
        <v>46</v>
      </c>
      <c r="D122" s="15" t="s">
        <v>359</v>
      </c>
      <c r="E122" s="15" t="s">
        <v>48</v>
      </c>
      <c r="F122" s="15" t="s">
        <v>48</v>
      </c>
      <c r="G122" s="73">
        <v>3</v>
      </c>
      <c r="H122" s="15" t="s">
        <v>360</v>
      </c>
      <c r="I122" s="15" t="s">
        <v>298</v>
      </c>
      <c r="J122" s="12" t="s">
        <v>67</v>
      </c>
      <c r="K122" s="12" t="s">
        <v>46</v>
      </c>
      <c r="L122" s="74" t="s">
        <v>818</v>
      </c>
      <c r="M122" s="15" t="s">
        <v>366</v>
      </c>
      <c r="N122" s="15"/>
      <c r="O122" s="15" t="s">
        <v>367</v>
      </c>
      <c r="P122" s="15" t="s">
        <v>79</v>
      </c>
      <c r="Q122" s="72">
        <v>4</v>
      </c>
      <c r="R122" s="15" t="s">
        <v>6</v>
      </c>
      <c r="S122" s="15" t="s">
        <v>55</v>
      </c>
      <c r="T122" s="15" t="s">
        <v>125</v>
      </c>
      <c r="U122" s="15" t="s">
        <v>57</v>
      </c>
      <c r="V122" s="15" t="s">
        <v>58</v>
      </c>
      <c r="W122" s="15" t="s">
        <v>363</v>
      </c>
      <c r="X122" s="15" t="s">
        <v>58</v>
      </c>
      <c r="Y122" s="15" t="s">
        <v>60</v>
      </c>
    </row>
    <row r="123" spans="2:25" ht="15" customHeight="1" x14ac:dyDescent="0.2">
      <c r="B123" s="15">
        <v>118</v>
      </c>
      <c r="C123" s="15" t="s">
        <v>46</v>
      </c>
      <c r="D123" s="15" t="s">
        <v>359</v>
      </c>
      <c r="E123" s="15" t="s">
        <v>48</v>
      </c>
      <c r="F123" s="15" t="s">
        <v>48</v>
      </c>
      <c r="G123" s="73">
        <v>3</v>
      </c>
      <c r="H123" s="15" t="s">
        <v>360</v>
      </c>
      <c r="I123" s="15" t="s">
        <v>298</v>
      </c>
      <c r="J123" s="12" t="s">
        <v>67</v>
      </c>
      <c r="K123" s="12" t="s">
        <v>46</v>
      </c>
      <c r="L123" s="15" t="s">
        <v>368</v>
      </c>
      <c r="M123" s="15" t="s">
        <v>330</v>
      </c>
      <c r="N123" s="15"/>
      <c r="O123" s="15">
        <v>92640073</v>
      </c>
      <c r="P123" s="15" t="s">
        <v>79</v>
      </c>
      <c r="Q123" s="72">
        <v>1</v>
      </c>
      <c r="R123" s="15" t="s">
        <v>6</v>
      </c>
      <c r="S123" s="15" t="s">
        <v>55</v>
      </c>
      <c r="T123" s="15" t="s">
        <v>125</v>
      </c>
      <c r="U123" s="15" t="s">
        <v>57</v>
      </c>
      <c r="V123" s="15" t="s">
        <v>58</v>
      </c>
      <c r="W123" s="15" t="s">
        <v>369</v>
      </c>
      <c r="X123" s="15" t="s">
        <v>58</v>
      </c>
      <c r="Y123" s="15" t="s">
        <v>60</v>
      </c>
    </row>
    <row r="124" spans="2:25" ht="15" customHeight="1" x14ac:dyDescent="0.2">
      <c r="B124" s="15">
        <v>119</v>
      </c>
      <c r="C124" s="15" t="s">
        <v>46</v>
      </c>
      <c r="D124" s="15" t="s">
        <v>370</v>
      </c>
      <c r="E124" s="15" t="s">
        <v>48</v>
      </c>
      <c r="F124" s="15" t="s">
        <v>48</v>
      </c>
      <c r="G124" s="73">
        <v>3</v>
      </c>
      <c r="H124" s="15" t="s">
        <v>360</v>
      </c>
      <c r="I124" s="15" t="s">
        <v>298</v>
      </c>
      <c r="J124" s="12" t="s">
        <v>67</v>
      </c>
      <c r="K124" s="12" t="s">
        <v>46</v>
      </c>
      <c r="L124" s="15" t="s">
        <v>371</v>
      </c>
      <c r="M124" s="15"/>
      <c r="N124" s="15"/>
      <c r="O124" s="15"/>
      <c r="P124" s="15" t="s">
        <v>79</v>
      </c>
      <c r="Q124" s="72">
        <v>1</v>
      </c>
      <c r="R124" s="15" t="s">
        <v>6</v>
      </c>
      <c r="S124" s="15" t="s">
        <v>55</v>
      </c>
      <c r="T124" s="15" t="s">
        <v>95</v>
      </c>
      <c r="U124" s="15" t="s">
        <v>57</v>
      </c>
      <c r="V124" s="15" t="s">
        <v>58</v>
      </c>
      <c r="W124" s="15" t="s">
        <v>363</v>
      </c>
      <c r="X124" s="15" t="s">
        <v>58</v>
      </c>
      <c r="Y124" s="15" t="s">
        <v>60</v>
      </c>
    </row>
    <row r="125" spans="2:25" ht="15" customHeight="1" x14ac:dyDescent="0.2">
      <c r="B125" s="15">
        <v>120</v>
      </c>
      <c r="C125" s="15" t="s">
        <v>46</v>
      </c>
      <c r="D125" s="15" t="s">
        <v>372</v>
      </c>
      <c r="E125" s="15" t="s">
        <v>48</v>
      </c>
      <c r="F125" s="15" t="s">
        <v>373</v>
      </c>
      <c r="G125" s="73">
        <v>4</v>
      </c>
      <c r="H125" s="15" t="s">
        <v>374</v>
      </c>
      <c r="I125" s="15" t="s">
        <v>298</v>
      </c>
      <c r="J125" s="12" t="s">
        <v>67</v>
      </c>
      <c r="K125" s="12" t="s">
        <v>46</v>
      </c>
      <c r="L125" s="15" t="s">
        <v>343</v>
      </c>
      <c r="M125" s="15"/>
      <c r="N125" s="15"/>
      <c r="O125" s="15"/>
      <c r="P125" s="15" t="s">
        <v>79</v>
      </c>
      <c r="Q125" s="72">
        <v>1</v>
      </c>
      <c r="R125" s="15" t="s">
        <v>6</v>
      </c>
      <c r="S125" s="15" t="s">
        <v>89</v>
      </c>
      <c r="T125" s="15" t="s">
        <v>95</v>
      </c>
      <c r="U125" s="15" t="s">
        <v>57</v>
      </c>
      <c r="V125" s="15" t="s">
        <v>58</v>
      </c>
      <c r="W125" s="15" t="s">
        <v>375</v>
      </c>
      <c r="X125" s="15" t="s">
        <v>58</v>
      </c>
      <c r="Y125" s="15" t="s">
        <v>60</v>
      </c>
    </row>
    <row r="126" spans="2:25" ht="15" customHeight="1" x14ac:dyDescent="0.2">
      <c r="B126" s="15">
        <v>121</v>
      </c>
      <c r="C126" s="15" t="s">
        <v>46</v>
      </c>
      <c r="D126" s="15" t="s">
        <v>376</v>
      </c>
      <c r="E126" s="15" t="s">
        <v>48</v>
      </c>
      <c r="F126" s="15" t="s">
        <v>48</v>
      </c>
      <c r="G126" s="73">
        <v>4</v>
      </c>
      <c r="H126" s="15" t="s">
        <v>377</v>
      </c>
      <c r="I126" s="15" t="s">
        <v>298</v>
      </c>
      <c r="J126" s="12" t="s">
        <v>67</v>
      </c>
      <c r="K126" s="12" t="s">
        <v>46</v>
      </c>
      <c r="L126" s="15" t="s">
        <v>378</v>
      </c>
      <c r="M126" s="15"/>
      <c r="N126" s="15"/>
      <c r="O126" s="15">
        <v>2201201</v>
      </c>
      <c r="P126" s="15" t="s">
        <v>79</v>
      </c>
      <c r="Q126" s="72">
        <v>1</v>
      </c>
      <c r="R126" s="15" t="s">
        <v>6</v>
      </c>
      <c r="S126" s="15" t="s">
        <v>55</v>
      </c>
      <c r="T126" s="15" t="s">
        <v>95</v>
      </c>
      <c r="U126" s="15" t="s">
        <v>57</v>
      </c>
      <c r="V126" s="15" t="s">
        <v>58</v>
      </c>
      <c r="W126" s="15" t="s">
        <v>90</v>
      </c>
      <c r="X126" s="15" t="s">
        <v>58</v>
      </c>
      <c r="Y126" s="15" t="s">
        <v>60</v>
      </c>
    </row>
    <row r="127" spans="2:25" ht="15" customHeight="1" x14ac:dyDescent="0.2">
      <c r="B127" s="15">
        <v>122</v>
      </c>
      <c r="C127" s="15" t="s">
        <v>46</v>
      </c>
      <c r="D127" s="15" t="s">
        <v>376</v>
      </c>
      <c r="E127" s="15" t="s">
        <v>48</v>
      </c>
      <c r="F127" s="15" t="s">
        <v>48</v>
      </c>
      <c r="G127" s="73">
        <v>4</v>
      </c>
      <c r="H127" s="15" t="s">
        <v>377</v>
      </c>
      <c r="I127" s="15" t="s">
        <v>298</v>
      </c>
      <c r="J127" s="12" t="s">
        <v>67</v>
      </c>
      <c r="K127" s="12" t="s">
        <v>46</v>
      </c>
      <c r="L127" s="15" t="s">
        <v>379</v>
      </c>
      <c r="M127" s="15"/>
      <c r="N127" s="15"/>
      <c r="O127" s="15"/>
      <c r="P127" s="15" t="s">
        <v>79</v>
      </c>
      <c r="Q127" s="72">
        <v>5</v>
      </c>
      <c r="R127" s="15" t="s">
        <v>6</v>
      </c>
      <c r="S127" s="15" t="s">
        <v>55</v>
      </c>
      <c r="T127" s="15" t="s">
        <v>95</v>
      </c>
      <c r="U127" s="15" t="s">
        <v>57</v>
      </c>
      <c r="V127" s="15" t="s">
        <v>58</v>
      </c>
      <c r="W127" s="15" t="s">
        <v>90</v>
      </c>
      <c r="X127" s="15" t="s">
        <v>58</v>
      </c>
      <c r="Y127" s="15" t="s">
        <v>60</v>
      </c>
    </row>
    <row r="128" spans="2:25" ht="15" customHeight="1" x14ac:dyDescent="0.2">
      <c r="B128" s="15">
        <v>123</v>
      </c>
      <c r="C128" s="15" t="s">
        <v>46</v>
      </c>
      <c r="D128" s="15" t="s">
        <v>376</v>
      </c>
      <c r="E128" s="15" t="s">
        <v>48</v>
      </c>
      <c r="F128" s="15" t="s">
        <v>48</v>
      </c>
      <c r="G128" s="73">
        <v>4</v>
      </c>
      <c r="H128" s="15" t="s">
        <v>377</v>
      </c>
      <c r="I128" s="15" t="s">
        <v>298</v>
      </c>
      <c r="J128" s="12" t="s">
        <v>67</v>
      </c>
      <c r="K128" s="12" t="s">
        <v>46</v>
      </c>
      <c r="L128" s="15" t="s">
        <v>380</v>
      </c>
      <c r="M128" s="15"/>
      <c r="N128" s="15" t="s">
        <v>381</v>
      </c>
      <c r="O128" s="15"/>
      <c r="P128" s="15" t="s">
        <v>79</v>
      </c>
      <c r="Q128" s="72">
        <v>3</v>
      </c>
      <c r="R128" s="15" t="s">
        <v>6</v>
      </c>
      <c r="S128" s="15" t="s">
        <v>55</v>
      </c>
      <c r="T128" s="15" t="s">
        <v>95</v>
      </c>
      <c r="U128" s="15" t="s">
        <v>57</v>
      </c>
      <c r="V128" s="15" t="s">
        <v>58</v>
      </c>
      <c r="W128" s="15" t="s">
        <v>90</v>
      </c>
      <c r="X128" s="15" t="s">
        <v>58</v>
      </c>
      <c r="Y128" s="15" t="s">
        <v>60</v>
      </c>
    </row>
    <row r="129" spans="2:25" ht="15" customHeight="1" x14ac:dyDescent="0.2">
      <c r="B129" s="15">
        <v>124</v>
      </c>
      <c r="C129" s="15" t="s">
        <v>46</v>
      </c>
      <c r="D129" s="15" t="s">
        <v>376</v>
      </c>
      <c r="E129" s="15" t="s">
        <v>48</v>
      </c>
      <c r="F129" s="15" t="s">
        <v>48</v>
      </c>
      <c r="G129" s="73">
        <v>4</v>
      </c>
      <c r="H129" s="15" t="s">
        <v>377</v>
      </c>
      <c r="I129" s="15" t="s">
        <v>298</v>
      </c>
      <c r="J129" s="12" t="s">
        <v>67</v>
      </c>
      <c r="K129" s="12" t="s">
        <v>46</v>
      </c>
      <c r="L129" s="15" t="s">
        <v>382</v>
      </c>
      <c r="M129" s="15"/>
      <c r="N129" s="15"/>
      <c r="O129" s="15"/>
      <c r="P129" s="15" t="s">
        <v>79</v>
      </c>
      <c r="Q129" s="72">
        <v>1</v>
      </c>
      <c r="R129" s="15" t="s">
        <v>6</v>
      </c>
      <c r="S129" s="15" t="s">
        <v>55</v>
      </c>
      <c r="T129" s="15" t="s">
        <v>95</v>
      </c>
      <c r="U129" s="15" t="s">
        <v>57</v>
      </c>
      <c r="V129" s="15" t="s">
        <v>58</v>
      </c>
      <c r="W129" s="15" t="s">
        <v>90</v>
      </c>
      <c r="X129" s="15" t="s">
        <v>58</v>
      </c>
      <c r="Y129" s="15" t="s">
        <v>60</v>
      </c>
    </row>
    <row r="130" spans="2:25" ht="15" customHeight="1" x14ac:dyDescent="0.2">
      <c r="B130" s="15">
        <v>125</v>
      </c>
      <c r="C130" s="15" t="s">
        <v>46</v>
      </c>
      <c r="D130" s="15" t="s">
        <v>376</v>
      </c>
      <c r="E130" s="15" t="s">
        <v>48</v>
      </c>
      <c r="F130" s="15" t="s">
        <v>48</v>
      </c>
      <c r="G130" s="73">
        <v>4</v>
      </c>
      <c r="H130" s="15" t="s">
        <v>377</v>
      </c>
      <c r="I130" s="15" t="s">
        <v>298</v>
      </c>
      <c r="J130" s="12" t="s">
        <v>67</v>
      </c>
      <c r="K130" s="12" t="s">
        <v>46</v>
      </c>
      <c r="L130" s="15" t="s">
        <v>383</v>
      </c>
      <c r="M130" s="15"/>
      <c r="N130" s="15"/>
      <c r="O130" s="15"/>
      <c r="P130" s="15" t="s">
        <v>79</v>
      </c>
      <c r="Q130" s="72">
        <v>100</v>
      </c>
      <c r="R130" s="15" t="s">
        <v>160</v>
      </c>
      <c r="S130" s="15" t="s">
        <v>55</v>
      </c>
      <c r="T130" s="15" t="s">
        <v>95</v>
      </c>
      <c r="U130" s="15" t="s">
        <v>57</v>
      </c>
      <c r="V130" s="15" t="s">
        <v>58</v>
      </c>
      <c r="W130" s="15" t="s">
        <v>90</v>
      </c>
      <c r="X130" s="15" t="s">
        <v>58</v>
      </c>
      <c r="Y130" s="15" t="s">
        <v>60</v>
      </c>
    </row>
    <row r="131" spans="2:25" ht="15" customHeight="1" x14ac:dyDescent="0.2">
      <c r="B131" s="15">
        <v>126</v>
      </c>
      <c r="C131" s="15" t="s">
        <v>46</v>
      </c>
      <c r="D131" s="15" t="s">
        <v>376</v>
      </c>
      <c r="E131" s="15" t="s">
        <v>48</v>
      </c>
      <c r="F131" s="15" t="s">
        <v>48</v>
      </c>
      <c r="G131" s="73">
        <v>4</v>
      </c>
      <c r="H131" s="15" t="s">
        <v>377</v>
      </c>
      <c r="I131" s="15" t="s">
        <v>298</v>
      </c>
      <c r="J131" s="12" t="s">
        <v>67</v>
      </c>
      <c r="K131" s="12" t="s">
        <v>46</v>
      </c>
      <c r="L131" s="15" t="s">
        <v>384</v>
      </c>
      <c r="M131" s="15"/>
      <c r="N131" s="15"/>
      <c r="O131" s="15"/>
      <c r="P131" s="15" t="s">
        <v>79</v>
      </c>
      <c r="Q131" s="72">
        <v>100</v>
      </c>
      <c r="R131" s="15" t="s">
        <v>160</v>
      </c>
      <c r="S131" s="15" t="s">
        <v>55</v>
      </c>
      <c r="T131" s="15" t="s">
        <v>95</v>
      </c>
      <c r="U131" s="15" t="s">
        <v>57</v>
      </c>
      <c r="V131" s="15" t="s">
        <v>58</v>
      </c>
      <c r="W131" s="15" t="s">
        <v>90</v>
      </c>
      <c r="X131" s="15" t="s">
        <v>58</v>
      </c>
      <c r="Y131" s="15" t="s">
        <v>60</v>
      </c>
    </row>
    <row r="132" spans="2:25" ht="15" customHeight="1" x14ac:dyDescent="0.2">
      <c r="B132" s="15">
        <v>127</v>
      </c>
      <c r="C132" s="15" t="s">
        <v>46</v>
      </c>
      <c r="D132" s="15" t="s">
        <v>385</v>
      </c>
      <c r="E132" s="15" t="s">
        <v>48</v>
      </c>
      <c r="F132" s="15" t="s">
        <v>48</v>
      </c>
      <c r="G132" s="73">
        <v>4</v>
      </c>
      <c r="H132" s="15" t="s">
        <v>377</v>
      </c>
      <c r="I132" s="15" t="s">
        <v>298</v>
      </c>
      <c r="J132" s="12" t="s">
        <v>67</v>
      </c>
      <c r="K132" s="12" t="s">
        <v>46</v>
      </c>
      <c r="L132" s="15" t="s">
        <v>386</v>
      </c>
      <c r="M132" s="15"/>
      <c r="N132" s="15"/>
      <c r="O132" s="15"/>
      <c r="P132" s="15" t="s">
        <v>79</v>
      </c>
      <c r="Q132" s="72">
        <v>6</v>
      </c>
      <c r="R132" s="15" t="s">
        <v>387</v>
      </c>
      <c r="S132" s="15" t="s">
        <v>55</v>
      </c>
      <c r="T132" s="15" t="s">
        <v>95</v>
      </c>
      <c r="U132" s="15" t="s">
        <v>57</v>
      </c>
      <c r="V132" s="15" t="s">
        <v>58</v>
      </c>
      <c r="W132" s="15" t="s">
        <v>90</v>
      </c>
      <c r="X132" s="15" t="s">
        <v>58</v>
      </c>
      <c r="Y132" s="15" t="s">
        <v>60</v>
      </c>
    </row>
    <row r="133" spans="2:25" ht="15" customHeight="1" x14ac:dyDescent="0.2">
      <c r="B133" s="15">
        <v>128</v>
      </c>
      <c r="C133" s="15" t="s">
        <v>46</v>
      </c>
      <c r="D133" s="15" t="s">
        <v>388</v>
      </c>
      <c r="E133" s="15" t="s">
        <v>48</v>
      </c>
      <c r="F133" s="15" t="s">
        <v>48</v>
      </c>
      <c r="G133" s="73">
        <v>4</v>
      </c>
      <c r="H133" s="15" t="s">
        <v>389</v>
      </c>
      <c r="I133" s="15" t="s">
        <v>298</v>
      </c>
      <c r="J133" s="12" t="s">
        <v>67</v>
      </c>
      <c r="K133" s="12" t="s">
        <v>46</v>
      </c>
      <c r="L133" s="15" t="s">
        <v>343</v>
      </c>
      <c r="M133" s="15"/>
      <c r="N133" s="15"/>
      <c r="O133" s="15"/>
      <c r="P133" s="15" t="s">
        <v>79</v>
      </c>
      <c r="Q133" s="72">
        <v>1</v>
      </c>
      <c r="R133" s="15" t="s">
        <v>6</v>
      </c>
      <c r="S133" s="15" t="s">
        <v>232</v>
      </c>
      <c r="T133" s="15" t="s">
        <v>244</v>
      </c>
      <c r="U133" s="15" t="s">
        <v>57</v>
      </c>
      <c r="V133" s="15" t="s">
        <v>58</v>
      </c>
      <c r="W133" s="15" t="s">
        <v>354</v>
      </c>
      <c r="X133" s="15" t="s">
        <v>58</v>
      </c>
      <c r="Y133" s="15" t="s">
        <v>60</v>
      </c>
    </row>
    <row r="134" spans="2:25" ht="15" customHeight="1" x14ac:dyDescent="0.2">
      <c r="B134" s="15">
        <v>129</v>
      </c>
      <c r="C134" s="15" t="s">
        <v>46</v>
      </c>
      <c r="D134" s="15" t="s">
        <v>390</v>
      </c>
      <c r="E134" s="15" t="s">
        <v>48</v>
      </c>
      <c r="F134" s="15" t="s">
        <v>391</v>
      </c>
      <c r="G134" s="73">
        <v>1</v>
      </c>
      <c r="H134" s="15" t="s">
        <v>392</v>
      </c>
      <c r="I134" s="15" t="s">
        <v>393</v>
      </c>
      <c r="J134" s="12" t="s">
        <v>67</v>
      </c>
      <c r="K134" s="12" t="s">
        <v>46</v>
      </c>
      <c r="L134" s="15" t="s">
        <v>343</v>
      </c>
      <c r="M134" s="15"/>
      <c r="N134" s="15"/>
      <c r="O134" s="15"/>
      <c r="P134" s="15" t="s">
        <v>79</v>
      </c>
      <c r="Q134" s="72">
        <v>1</v>
      </c>
      <c r="R134" s="15" t="s">
        <v>6</v>
      </c>
      <c r="S134" s="15" t="s">
        <v>89</v>
      </c>
      <c r="T134" s="15" t="s">
        <v>394</v>
      </c>
      <c r="U134" s="15" t="s">
        <v>57</v>
      </c>
      <c r="V134" s="15" t="s">
        <v>58</v>
      </c>
      <c r="W134" s="15" t="s">
        <v>395</v>
      </c>
      <c r="X134" s="15" t="s">
        <v>58</v>
      </c>
      <c r="Y134" s="15" t="s">
        <v>60</v>
      </c>
    </row>
    <row r="135" spans="2:25" ht="15" customHeight="1" x14ac:dyDescent="0.2">
      <c r="B135" s="15">
        <v>130</v>
      </c>
      <c r="C135" s="15" t="s">
        <v>46</v>
      </c>
      <c r="D135" s="15" t="s">
        <v>396</v>
      </c>
      <c r="E135" s="15" t="s">
        <v>48</v>
      </c>
      <c r="F135" s="15" t="s">
        <v>48</v>
      </c>
      <c r="G135" s="73">
        <v>1</v>
      </c>
      <c r="H135" s="15" t="s">
        <v>397</v>
      </c>
      <c r="I135" s="15" t="s">
        <v>393</v>
      </c>
      <c r="J135" s="12" t="s">
        <v>67</v>
      </c>
      <c r="K135" s="12" t="s">
        <v>46</v>
      </c>
      <c r="L135" s="15" t="s">
        <v>398</v>
      </c>
      <c r="M135" s="15"/>
      <c r="N135" s="15"/>
      <c r="O135" s="15"/>
      <c r="P135" s="15" t="s">
        <v>79</v>
      </c>
      <c r="Q135" s="72">
        <v>2</v>
      </c>
      <c r="R135" s="15" t="s">
        <v>6</v>
      </c>
      <c r="S135" s="15" t="s">
        <v>55</v>
      </c>
      <c r="T135" s="15" t="s">
        <v>394</v>
      </c>
      <c r="U135" s="15" t="s">
        <v>57</v>
      </c>
      <c r="V135" s="15" t="s">
        <v>58</v>
      </c>
      <c r="W135" s="15" t="s">
        <v>399</v>
      </c>
      <c r="X135" s="15" t="s">
        <v>58</v>
      </c>
      <c r="Y135" s="15" t="s">
        <v>60</v>
      </c>
    </row>
    <row r="136" spans="2:25" ht="15" customHeight="1" x14ac:dyDescent="0.2">
      <c r="B136" s="15">
        <v>131</v>
      </c>
      <c r="C136" s="15" t="s">
        <v>46</v>
      </c>
      <c r="D136" s="15" t="s">
        <v>400</v>
      </c>
      <c r="E136" s="15" t="s">
        <v>48</v>
      </c>
      <c r="F136" s="15" t="s">
        <v>391</v>
      </c>
      <c r="G136" s="73">
        <v>1</v>
      </c>
      <c r="H136" s="15" t="s">
        <v>397</v>
      </c>
      <c r="I136" s="15" t="s">
        <v>393</v>
      </c>
      <c r="J136" s="12" t="s">
        <v>67</v>
      </c>
      <c r="K136" s="12" t="s">
        <v>46</v>
      </c>
      <c r="L136" s="15" t="s">
        <v>343</v>
      </c>
      <c r="M136" s="15"/>
      <c r="N136" s="15"/>
      <c r="O136" s="15"/>
      <c r="P136" s="15" t="s">
        <v>79</v>
      </c>
      <c r="Q136" s="72">
        <v>1</v>
      </c>
      <c r="R136" s="15" t="s">
        <v>6</v>
      </c>
      <c r="S136" s="15" t="s">
        <v>89</v>
      </c>
      <c r="T136" s="15" t="s">
        <v>401</v>
      </c>
      <c r="U136" s="15" t="s">
        <v>57</v>
      </c>
      <c r="V136" s="15" t="s">
        <v>58</v>
      </c>
      <c r="W136" s="15" t="s">
        <v>395</v>
      </c>
      <c r="X136" s="15" t="s">
        <v>58</v>
      </c>
      <c r="Y136" s="15" t="s">
        <v>60</v>
      </c>
    </row>
    <row r="137" spans="2:25" ht="15" customHeight="1" x14ac:dyDescent="0.2">
      <c r="B137" s="15">
        <v>132</v>
      </c>
      <c r="C137" s="15" t="s">
        <v>46</v>
      </c>
      <c r="D137" s="15" t="s">
        <v>402</v>
      </c>
      <c r="E137" s="15" t="s">
        <v>48</v>
      </c>
      <c r="F137" s="15" t="s">
        <v>48</v>
      </c>
      <c r="G137" s="73">
        <v>2</v>
      </c>
      <c r="H137" s="15" t="s">
        <v>403</v>
      </c>
      <c r="I137" s="15" t="s">
        <v>393</v>
      </c>
      <c r="J137" s="12" t="s">
        <v>67</v>
      </c>
      <c r="K137" s="12" t="s">
        <v>46</v>
      </c>
      <c r="L137" s="15" t="s">
        <v>404</v>
      </c>
      <c r="M137" s="15" t="s">
        <v>381</v>
      </c>
      <c r="N137" s="15"/>
      <c r="O137" s="15"/>
      <c r="P137" s="15" t="s">
        <v>79</v>
      </c>
      <c r="Q137" s="72">
        <v>1</v>
      </c>
      <c r="R137" s="15" t="s">
        <v>6</v>
      </c>
      <c r="S137" s="15" t="s">
        <v>55</v>
      </c>
      <c r="T137" s="15" t="s">
        <v>394</v>
      </c>
      <c r="U137" s="15" t="s">
        <v>57</v>
      </c>
      <c r="V137" s="15" t="s">
        <v>58</v>
      </c>
      <c r="W137" s="15" t="s">
        <v>90</v>
      </c>
      <c r="X137" s="15" t="s">
        <v>58</v>
      </c>
      <c r="Y137" s="15" t="s">
        <v>60</v>
      </c>
    </row>
    <row r="138" spans="2:25" ht="15" customHeight="1" x14ac:dyDescent="0.2">
      <c r="B138" s="15">
        <v>133</v>
      </c>
      <c r="C138" s="15" t="s">
        <v>46</v>
      </c>
      <c r="D138" s="15" t="s">
        <v>402</v>
      </c>
      <c r="E138" s="15" t="s">
        <v>48</v>
      </c>
      <c r="F138" s="15" t="s">
        <v>48</v>
      </c>
      <c r="G138" s="73">
        <v>2</v>
      </c>
      <c r="H138" s="15" t="s">
        <v>403</v>
      </c>
      <c r="I138" s="15" t="s">
        <v>393</v>
      </c>
      <c r="J138" s="12" t="s">
        <v>67</v>
      </c>
      <c r="K138" s="12" t="s">
        <v>46</v>
      </c>
      <c r="L138" s="15" t="s">
        <v>405</v>
      </c>
      <c r="M138" s="15" t="s">
        <v>381</v>
      </c>
      <c r="N138" s="15"/>
      <c r="O138" s="15"/>
      <c r="P138" s="15" t="s">
        <v>79</v>
      </c>
      <c r="Q138" s="72">
        <v>1</v>
      </c>
      <c r="R138" s="15" t="s">
        <v>6</v>
      </c>
      <c r="S138" s="15" t="s">
        <v>55</v>
      </c>
      <c r="T138" s="15" t="s">
        <v>394</v>
      </c>
      <c r="U138" s="15" t="s">
        <v>57</v>
      </c>
      <c r="V138" s="15" t="s">
        <v>58</v>
      </c>
      <c r="W138" s="15" t="s">
        <v>90</v>
      </c>
      <c r="X138" s="15" t="s">
        <v>58</v>
      </c>
      <c r="Y138" s="15" t="s">
        <v>60</v>
      </c>
    </row>
    <row r="139" spans="2:25" ht="15" customHeight="1" x14ac:dyDescent="0.2">
      <c r="B139" s="15">
        <v>134</v>
      </c>
      <c r="C139" s="15" t="s">
        <v>46</v>
      </c>
      <c r="D139" s="15" t="s">
        <v>406</v>
      </c>
      <c r="E139" s="15" t="s">
        <v>48</v>
      </c>
      <c r="F139" s="15" t="s">
        <v>48</v>
      </c>
      <c r="G139" s="73">
        <v>3</v>
      </c>
      <c r="H139" s="15" t="s">
        <v>407</v>
      </c>
      <c r="I139" s="15" t="s">
        <v>393</v>
      </c>
      <c r="J139" s="12" t="s">
        <v>67</v>
      </c>
      <c r="K139" s="12" t="s">
        <v>46</v>
      </c>
      <c r="L139" s="15" t="s">
        <v>833</v>
      </c>
      <c r="M139" s="15" t="s">
        <v>408</v>
      </c>
      <c r="N139" s="15"/>
      <c r="O139" s="15"/>
      <c r="P139" s="15" t="s">
        <v>79</v>
      </c>
      <c r="Q139" s="72">
        <v>12</v>
      </c>
      <c r="R139" s="15" t="s">
        <v>186</v>
      </c>
      <c r="S139" s="15" t="s">
        <v>55</v>
      </c>
      <c r="T139" s="15" t="s">
        <v>394</v>
      </c>
      <c r="U139" s="15" t="s">
        <v>57</v>
      </c>
      <c r="V139" s="15" t="s">
        <v>58</v>
      </c>
      <c r="W139" s="15" t="s">
        <v>409</v>
      </c>
      <c r="X139" s="15" t="s">
        <v>58</v>
      </c>
      <c r="Y139" s="15" t="s">
        <v>60</v>
      </c>
    </row>
  </sheetData>
  <autoFilter ref="B5:Y139" xr:uid="{00000000-0009-0000-0000-000000000000}"/>
  <mergeCells count="3">
    <mergeCell ref="B2:E4"/>
    <mergeCell ref="F2:W4"/>
    <mergeCell ref="X2:Y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167"/>
  <sheetViews>
    <sheetView topLeftCell="A6" zoomScale="40" zoomScaleNormal="40" workbookViewId="0">
      <selection activeCell="B6" sqref="B6:X167"/>
    </sheetView>
  </sheetViews>
  <sheetFormatPr defaultColWidth="10.76171875" defaultRowHeight="15" x14ac:dyDescent="0.2"/>
  <cols>
    <col min="1" max="1" width="2.015625" bestFit="1" customWidth="1"/>
    <col min="2" max="2" width="2.5546875" customWidth="1"/>
    <col min="3" max="3" width="17.21875" customWidth="1"/>
    <col min="4" max="4" width="12.10546875" style="39" bestFit="1" customWidth="1"/>
    <col min="5" max="5" width="7.12890625" bestFit="1" customWidth="1"/>
    <col min="6" max="6" width="8.7421875" bestFit="1" customWidth="1"/>
    <col min="7" max="7" width="7.53125" bestFit="1" customWidth="1"/>
    <col min="8" max="8" width="8.609375" style="9" customWidth="1"/>
    <col min="9" max="9" width="14.9296875" style="9" customWidth="1"/>
    <col min="10" max="10" width="11.703125" customWidth="1"/>
    <col min="11" max="11" width="18.29296875" style="1" customWidth="1"/>
    <col min="12" max="12" width="37.125" style="6" customWidth="1"/>
    <col min="13" max="13" width="30.40234375" style="6" customWidth="1"/>
    <col min="14" max="14" width="17.62109375" style="9" customWidth="1"/>
    <col min="15" max="16" width="19.90625" customWidth="1"/>
    <col min="17" max="17" width="47.484375" customWidth="1"/>
    <col min="18" max="18" width="18.83203125" customWidth="1"/>
    <col min="19" max="20" width="13.5859375" customWidth="1"/>
    <col min="21" max="21" width="7.93359375" customWidth="1"/>
    <col min="22" max="22" width="6.1875" customWidth="1"/>
    <col min="23" max="23" width="12.23828125" style="4" customWidth="1"/>
    <col min="24" max="24" width="37.93359375" customWidth="1"/>
    <col min="25" max="25" width="2.015625" bestFit="1" customWidth="1"/>
  </cols>
  <sheetData>
    <row r="2" spans="2:27" x14ac:dyDescent="0.2">
      <c r="B2" s="84"/>
      <c r="C2" s="84"/>
      <c r="D2" s="85" t="s">
        <v>16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6" t="s">
        <v>1262</v>
      </c>
    </row>
    <row r="3" spans="2:27" x14ac:dyDescent="0.2"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6"/>
    </row>
    <row r="4" spans="2:27" x14ac:dyDescent="0.2">
      <c r="B4" s="84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6"/>
    </row>
    <row r="5" spans="2:27" ht="12.75" customHeight="1" thickBot="1" x14ac:dyDescent="0.25">
      <c r="B5" s="88"/>
      <c r="C5" s="88"/>
      <c r="D5" s="89" t="s">
        <v>19</v>
      </c>
      <c r="E5" s="89"/>
      <c r="F5" s="90" t="s">
        <v>20</v>
      </c>
      <c r="G5" s="90"/>
      <c r="H5" s="91" t="s">
        <v>23</v>
      </c>
      <c r="I5" s="91"/>
      <c r="J5" s="91"/>
      <c r="K5" s="92" t="s">
        <v>26</v>
      </c>
      <c r="L5" s="92"/>
      <c r="M5" s="92"/>
      <c r="N5" s="92"/>
      <c r="O5" s="92"/>
      <c r="P5" s="87" t="s">
        <v>28</v>
      </c>
      <c r="Q5" s="87"/>
      <c r="R5" s="87"/>
      <c r="S5" s="87"/>
      <c r="T5" s="87"/>
      <c r="U5" s="87"/>
      <c r="V5" s="87"/>
      <c r="W5" s="87"/>
      <c r="X5" s="76" t="s">
        <v>27</v>
      </c>
      <c r="Y5" s="2"/>
      <c r="Z5" s="2"/>
      <c r="AA5" s="2"/>
    </row>
    <row r="6" spans="2:27" ht="24" customHeight="1" thickBot="1" x14ac:dyDescent="0.25">
      <c r="B6" s="25" t="s">
        <v>0</v>
      </c>
      <c r="C6" s="26" t="s">
        <v>12</v>
      </c>
      <c r="D6" s="36" t="s">
        <v>2</v>
      </c>
      <c r="E6" s="26" t="s">
        <v>30</v>
      </c>
      <c r="F6" s="26" t="s">
        <v>2</v>
      </c>
      <c r="G6" s="26" t="s">
        <v>30</v>
      </c>
      <c r="H6" s="29" t="s">
        <v>21</v>
      </c>
      <c r="I6" s="29" t="s">
        <v>11</v>
      </c>
      <c r="J6" s="26" t="s">
        <v>22</v>
      </c>
      <c r="K6" s="26" t="s">
        <v>18</v>
      </c>
      <c r="L6" s="29" t="s">
        <v>24</v>
      </c>
      <c r="M6" s="29" t="s">
        <v>25</v>
      </c>
      <c r="N6" s="29" t="s">
        <v>619</v>
      </c>
      <c r="O6" s="26" t="s">
        <v>14</v>
      </c>
      <c r="P6" s="26" t="s">
        <v>29</v>
      </c>
      <c r="Q6" s="26" t="s">
        <v>17</v>
      </c>
      <c r="R6" s="26" t="s">
        <v>3</v>
      </c>
      <c r="S6" s="26" t="s">
        <v>7</v>
      </c>
      <c r="T6" s="26" t="s">
        <v>9</v>
      </c>
      <c r="U6" s="26" t="s">
        <v>5</v>
      </c>
      <c r="V6" s="26" t="s">
        <v>6</v>
      </c>
      <c r="W6" s="26" t="s">
        <v>10</v>
      </c>
      <c r="X6" s="27" t="s">
        <v>13</v>
      </c>
    </row>
    <row r="7" spans="2:27" ht="20.100000000000001" customHeight="1" x14ac:dyDescent="0.2">
      <c r="B7" s="19"/>
      <c r="C7" s="19"/>
      <c r="D7" s="37">
        <v>44796</v>
      </c>
      <c r="E7" s="21"/>
      <c r="F7" s="20"/>
      <c r="G7" s="21"/>
      <c r="H7" s="30" t="s">
        <v>605</v>
      </c>
      <c r="I7" s="23" t="s">
        <v>606</v>
      </c>
      <c r="J7" s="19"/>
      <c r="K7" s="28" t="s">
        <v>601</v>
      </c>
      <c r="L7" s="24" t="s">
        <v>602</v>
      </c>
      <c r="M7" s="31" t="s">
        <v>603</v>
      </c>
      <c r="N7" s="23" t="s">
        <v>46</v>
      </c>
      <c r="O7" s="19">
        <v>0</v>
      </c>
      <c r="P7" s="19"/>
      <c r="Q7" s="22" t="s">
        <v>446</v>
      </c>
      <c r="R7" s="23" t="s">
        <v>46</v>
      </c>
      <c r="S7" s="33"/>
      <c r="T7" s="34"/>
      <c r="U7" s="35">
        <v>4</v>
      </c>
      <c r="V7" s="33" t="s">
        <v>387</v>
      </c>
      <c r="W7" s="23" t="s">
        <v>55</v>
      </c>
      <c r="X7" s="24" t="s">
        <v>505</v>
      </c>
    </row>
    <row r="8" spans="2:27" ht="20.100000000000001" customHeight="1" x14ac:dyDescent="0.2">
      <c r="B8" s="13"/>
      <c r="C8" s="13"/>
      <c r="D8" s="38">
        <v>44798</v>
      </c>
      <c r="E8" s="13"/>
      <c r="F8" s="13"/>
      <c r="G8" s="13"/>
      <c r="H8" s="12" t="s">
        <v>605</v>
      </c>
      <c r="I8" s="12" t="s">
        <v>608</v>
      </c>
      <c r="J8" s="13"/>
      <c r="K8" s="3" t="s">
        <v>604</v>
      </c>
      <c r="L8" s="15" t="s">
        <v>607</v>
      </c>
      <c r="M8" s="32" t="s">
        <v>610</v>
      </c>
      <c r="N8" s="23" t="s">
        <v>46</v>
      </c>
      <c r="O8" s="13">
        <v>0</v>
      </c>
      <c r="P8" s="13"/>
      <c r="Q8" s="14" t="s">
        <v>796</v>
      </c>
      <c r="R8" s="12" t="s">
        <v>609</v>
      </c>
      <c r="S8" s="11"/>
      <c r="T8" s="12"/>
      <c r="U8" s="10">
        <v>1</v>
      </c>
      <c r="V8" s="11" t="s">
        <v>180</v>
      </c>
      <c r="W8" s="12" t="s">
        <v>55</v>
      </c>
      <c r="X8" s="15" t="s">
        <v>506</v>
      </c>
    </row>
    <row r="9" spans="2:27" ht="20.100000000000001" customHeight="1" x14ac:dyDescent="0.2">
      <c r="B9" s="13"/>
      <c r="C9" s="13"/>
      <c r="D9" s="38">
        <v>44798</v>
      </c>
      <c r="E9" s="13"/>
      <c r="F9" s="13"/>
      <c r="G9" s="13"/>
      <c r="H9" s="12" t="s">
        <v>605</v>
      </c>
      <c r="I9" s="12" t="s">
        <v>23</v>
      </c>
      <c r="J9" s="13"/>
      <c r="K9" s="3" t="s">
        <v>46</v>
      </c>
      <c r="L9" s="15" t="s">
        <v>611</v>
      </c>
      <c r="M9" s="32" t="s">
        <v>612</v>
      </c>
      <c r="N9" s="23" t="s">
        <v>46</v>
      </c>
      <c r="O9" s="13">
        <v>0</v>
      </c>
      <c r="P9" s="13"/>
      <c r="Q9" s="14" t="s">
        <v>68</v>
      </c>
      <c r="R9" s="12" t="s">
        <v>46</v>
      </c>
      <c r="S9" s="11"/>
      <c r="T9" s="12" t="s">
        <v>502</v>
      </c>
      <c r="U9" s="10">
        <v>1</v>
      </c>
      <c r="V9" s="11" t="s">
        <v>6</v>
      </c>
      <c r="W9" s="12" t="s">
        <v>55</v>
      </c>
      <c r="X9" s="15" t="s">
        <v>507</v>
      </c>
    </row>
    <row r="10" spans="2:27" ht="20.100000000000001" customHeight="1" x14ac:dyDescent="0.2">
      <c r="B10" s="13"/>
      <c r="C10" s="13"/>
      <c r="D10" s="38">
        <v>44798</v>
      </c>
      <c r="E10" s="13"/>
      <c r="F10" s="13"/>
      <c r="G10" s="13"/>
      <c r="H10" s="12" t="s">
        <v>605</v>
      </c>
      <c r="I10" s="12" t="s">
        <v>23</v>
      </c>
      <c r="J10" s="13"/>
      <c r="K10" s="3" t="s">
        <v>46</v>
      </c>
      <c r="L10" s="15" t="s">
        <v>611</v>
      </c>
      <c r="M10" s="32" t="s">
        <v>612</v>
      </c>
      <c r="N10" s="23" t="s">
        <v>46</v>
      </c>
      <c r="O10" s="13">
        <v>0</v>
      </c>
      <c r="P10" s="13"/>
      <c r="Q10" s="14" t="s">
        <v>72</v>
      </c>
      <c r="R10" s="12" t="s">
        <v>46</v>
      </c>
      <c r="S10" s="11"/>
      <c r="T10" s="12"/>
      <c r="U10" s="10">
        <v>8</v>
      </c>
      <c r="V10" s="11" t="s">
        <v>6</v>
      </c>
      <c r="W10" s="12" t="s">
        <v>55</v>
      </c>
      <c r="X10" s="15" t="s">
        <v>507</v>
      </c>
    </row>
    <row r="11" spans="2:27" ht="20.100000000000001" customHeight="1" x14ac:dyDescent="0.2">
      <c r="B11" s="13"/>
      <c r="C11" s="13"/>
      <c r="D11" s="38">
        <v>44798</v>
      </c>
      <c r="E11" s="13"/>
      <c r="F11" s="13"/>
      <c r="G11" s="13"/>
      <c r="H11" s="12" t="s">
        <v>605</v>
      </c>
      <c r="I11" s="12" t="s">
        <v>23</v>
      </c>
      <c r="J11" s="13"/>
      <c r="K11" s="3" t="s">
        <v>46</v>
      </c>
      <c r="L11" s="15" t="s">
        <v>611</v>
      </c>
      <c r="M11" s="32" t="s">
        <v>612</v>
      </c>
      <c r="N11" s="23" t="s">
        <v>46</v>
      </c>
      <c r="O11" s="13">
        <v>0</v>
      </c>
      <c r="P11" s="13"/>
      <c r="Q11" s="14" t="s">
        <v>73</v>
      </c>
      <c r="R11" s="12" t="s">
        <v>46</v>
      </c>
      <c r="S11" s="11"/>
      <c r="T11" s="12"/>
      <c r="U11" s="10">
        <v>8</v>
      </c>
      <c r="V11" s="11" t="s">
        <v>6</v>
      </c>
      <c r="W11" s="12" t="s">
        <v>55</v>
      </c>
      <c r="X11" s="15" t="s">
        <v>507</v>
      </c>
    </row>
    <row r="12" spans="2:27" ht="20.100000000000001" customHeight="1" x14ac:dyDescent="0.2">
      <c r="B12" s="13"/>
      <c r="C12" s="13"/>
      <c r="D12" s="38">
        <v>44798</v>
      </c>
      <c r="E12" s="13"/>
      <c r="F12" s="13"/>
      <c r="G12" s="13"/>
      <c r="H12" s="12" t="s">
        <v>605</v>
      </c>
      <c r="I12" s="12" t="s">
        <v>608</v>
      </c>
      <c r="J12" s="13"/>
      <c r="K12" s="3" t="s">
        <v>604</v>
      </c>
      <c r="L12" s="15" t="s">
        <v>607</v>
      </c>
      <c r="M12" s="32" t="s">
        <v>610</v>
      </c>
      <c r="N12" s="23" t="s">
        <v>46</v>
      </c>
      <c r="O12" s="13">
        <v>0</v>
      </c>
      <c r="P12" s="13"/>
      <c r="Q12" s="14" t="s">
        <v>410</v>
      </c>
      <c r="R12" s="16" t="s">
        <v>465</v>
      </c>
      <c r="S12" s="11"/>
      <c r="T12" s="12"/>
      <c r="U12" s="10">
        <v>3</v>
      </c>
      <c r="V12" s="11" t="s">
        <v>6</v>
      </c>
      <c r="W12" s="12" t="s">
        <v>55</v>
      </c>
      <c r="X12" s="15" t="s">
        <v>508</v>
      </c>
    </row>
    <row r="13" spans="2:27" ht="20.100000000000001" customHeight="1" x14ac:dyDescent="0.2">
      <c r="B13" s="13"/>
      <c r="C13" s="13"/>
      <c r="D13" s="38">
        <v>44798</v>
      </c>
      <c r="E13" s="13"/>
      <c r="F13" s="13"/>
      <c r="G13" s="13"/>
      <c r="H13" s="12" t="s">
        <v>605</v>
      </c>
      <c r="I13" s="12" t="s">
        <v>608</v>
      </c>
      <c r="J13" s="13"/>
      <c r="K13" s="3" t="s">
        <v>604</v>
      </c>
      <c r="L13" s="15" t="s">
        <v>607</v>
      </c>
      <c r="M13" s="32" t="s">
        <v>610</v>
      </c>
      <c r="N13" s="23" t="s">
        <v>46</v>
      </c>
      <c r="O13" s="13">
        <v>0</v>
      </c>
      <c r="P13" s="13"/>
      <c r="Q13" s="14" t="s">
        <v>411</v>
      </c>
      <c r="R13" s="16" t="s">
        <v>466</v>
      </c>
      <c r="S13" s="11"/>
      <c r="T13" s="12"/>
      <c r="U13" s="10">
        <v>3</v>
      </c>
      <c r="V13" s="11" t="s">
        <v>6</v>
      </c>
      <c r="W13" s="12" t="s">
        <v>55</v>
      </c>
      <c r="X13" s="15" t="s">
        <v>508</v>
      </c>
    </row>
    <row r="14" spans="2:27" ht="20.100000000000001" customHeight="1" x14ac:dyDescent="0.2">
      <c r="B14" s="13"/>
      <c r="C14" s="13"/>
      <c r="D14" s="38">
        <v>44799</v>
      </c>
      <c r="E14" s="13"/>
      <c r="F14" s="13"/>
      <c r="G14" s="13"/>
      <c r="H14" s="12" t="s">
        <v>605</v>
      </c>
      <c r="I14" s="12" t="s">
        <v>608</v>
      </c>
      <c r="J14" s="13"/>
      <c r="K14" s="3" t="s">
        <v>613</v>
      </c>
      <c r="L14" s="15" t="s">
        <v>614</v>
      </c>
      <c r="M14" s="32" t="s">
        <v>615</v>
      </c>
      <c r="N14" s="23" t="s">
        <v>46</v>
      </c>
      <c r="O14" s="13">
        <v>0</v>
      </c>
      <c r="P14" s="13"/>
      <c r="Q14" s="14" t="s">
        <v>78</v>
      </c>
      <c r="R14" s="12" t="s">
        <v>46</v>
      </c>
      <c r="S14" s="11"/>
      <c r="T14" s="12"/>
      <c r="U14" s="10">
        <v>1</v>
      </c>
      <c r="V14" s="11" t="s">
        <v>6</v>
      </c>
      <c r="W14" s="12" t="s">
        <v>232</v>
      </c>
      <c r="X14" s="15" t="s">
        <v>509</v>
      </c>
    </row>
    <row r="15" spans="2:27" ht="20.100000000000001" customHeight="1" x14ac:dyDescent="0.2">
      <c r="B15" s="13"/>
      <c r="C15" s="13"/>
      <c r="D15" s="38">
        <v>44799</v>
      </c>
      <c r="E15" s="13"/>
      <c r="F15" s="13"/>
      <c r="G15" s="13"/>
      <c r="H15" s="12" t="s">
        <v>605</v>
      </c>
      <c r="I15" s="12" t="s">
        <v>608</v>
      </c>
      <c r="J15" s="13"/>
      <c r="K15" s="3" t="s">
        <v>613</v>
      </c>
      <c r="L15" s="15" t="s">
        <v>616</v>
      </c>
      <c r="M15" s="32" t="s">
        <v>615</v>
      </c>
      <c r="N15" s="23" t="s">
        <v>46</v>
      </c>
      <c r="O15" s="13">
        <v>0</v>
      </c>
      <c r="P15" s="13"/>
      <c r="Q15" s="14" t="s">
        <v>83</v>
      </c>
      <c r="R15" s="12" t="s">
        <v>46</v>
      </c>
      <c r="S15" s="11"/>
      <c r="T15" s="12"/>
      <c r="U15" s="10">
        <v>1</v>
      </c>
      <c r="V15" s="11" t="s">
        <v>6</v>
      </c>
      <c r="W15" s="12" t="s">
        <v>232</v>
      </c>
      <c r="X15" s="15" t="s">
        <v>509</v>
      </c>
    </row>
    <row r="16" spans="2:27" ht="20.100000000000001" customHeight="1" x14ac:dyDescent="0.2">
      <c r="B16" s="13"/>
      <c r="C16" s="13"/>
      <c r="D16" s="38">
        <v>44799</v>
      </c>
      <c r="E16" s="13"/>
      <c r="F16" s="13"/>
      <c r="G16" s="13"/>
      <c r="H16" s="12" t="s">
        <v>605</v>
      </c>
      <c r="I16" s="12" t="s">
        <v>606</v>
      </c>
      <c r="J16" s="13"/>
      <c r="K16" s="3" t="s">
        <v>604</v>
      </c>
      <c r="L16" s="15" t="s">
        <v>607</v>
      </c>
      <c r="M16" s="32" t="s">
        <v>617</v>
      </c>
      <c r="N16" s="23" t="s">
        <v>46</v>
      </c>
      <c r="O16" s="13">
        <v>0</v>
      </c>
      <c r="P16" s="13"/>
      <c r="Q16" s="14" t="s">
        <v>412</v>
      </c>
      <c r="R16" s="12" t="s">
        <v>467</v>
      </c>
      <c r="S16" s="11" t="s">
        <v>492</v>
      </c>
      <c r="T16" s="12"/>
      <c r="U16" s="10">
        <v>1</v>
      </c>
      <c r="V16" s="11" t="s">
        <v>6</v>
      </c>
      <c r="W16" s="12" t="s">
        <v>55</v>
      </c>
      <c r="X16" s="15" t="s">
        <v>510</v>
      </c>
    </row>
    <row r="17" spans="2:24" ht="20.100000000000001" customHeight="1" x14ac:dyDescent="0.2">
      <c r="B17" s="13"/>
      <c r="C17" s="13"/>
      <c r="D17" s="38">
        <v>44803</v>
      </c>
      <c r="E17" s="13"/>
      <c r="F17" s="13"/>
      <c r="G17" s="13"/>
      <c r="H17" s="12" t="s">
        <v>605</v>
      </c>
      <c r="I17" s="12" t="s">
        <v>608</v>
      </c>
      <c r="J17" s="13"/>
      <c r="K17" s="3" t="s">
        <v>613</v>
      </c>
      <c r="L17" s="15" t="s">
        <v>618</v>
      </c>
      <c r="M17" s="15" t="s">
        <v>621</v>
      </c>
      <c r="N17" s="12" t="s">
        <v>620</v>
      </c>
      <c r="O17" s="13">
        <v>0</v>
      </c>
      <c r="P17" s="13"/>
      <c r="Q17" s="14" t="s">
        <v>413</v>
      </c>
      <c r="R17" s="12" t="s">
        <v>46</v>
      </c>
      <c r="S17" s="11" t="s">
        <v>493</v>
      </c>
      <c r="T17" s="12">
        <v>4280</v>
      </c>
      <c r="U17" s="10">
        <v>1</v>
      </c>
      <c r="V17" s="11" t="s">
        <v>6</v>
      </c>
      <c r="W17" s="12" t="s">
        <v>232</v>
      </c>
      <c r="X17" s="15" t="s">
        <v>511</v>
      </c>
    </row>
    <row r="18" spans="2:24" ht="20.100000000000001" customHeight="1" x14ac:dyDescent="0.2">
      <c r="B18" s="13"/>
      <c r="C18" s="13"/>
      <c r="D18" s="38">
        <v>44805</v>
      </c>
      <c r="E18" s="13"/>
      <c r="F18" s="13"/>
      <c r="G18" s="13"/>
      <c r="H18" s="12" t="s">
        <v>605</v>
      </c>
      <c r="I18" s="12" t="s">
        <v>608</v>
      </c>
      <c r="J18" s="13"/>
      <c r="K18" s="3" t="s">
        <v>613</v>
      </c>
      <c r="L18" s="15" t="s">
        <v>614</v>
      </c>
      <c r="M18" s="15" t="s">
        <v>622</v>
      </c>
      <c r="N18" s="12" t="s">
        <v>46</v>
      </c>
      <c r="O18" s="13">
        <v>0</v>
      </c>
      <c r="P18" s="13"/>
      <c r="Q18" s="14" t="s">
        <v>78</v>
      </c>
      <c r="R18" s="12" t="s">
        <v>46</v>
      </c>
      <c r="S18" s="12"/>
      <c r="T18" s="12"/>
      <c r="U18" s="10">
        <v>1</v>
      </c>
      <c r="V18" s="12" t="s">
        <v>6</v>
      </c>
      <c r="W18" s="12" t="s">
        <v>80</v>
      </c>
      <c r="X18" s="15" t="s">
        <v>512</v>
      </c>
    </row>
    <row r="19" spans="2:24" ht="20.100000000000001" customHeight="1" x14ac:dyDescent="0.2">
      <c r="B19" s="13"/>
      <c r="C19" s="13"/>
      <c r="D19" s="38">
        <v>44805</v>
      </c>
      <c r="E19" s="13"/>
      <c r="F19" s="13"/>
      <c r="G19" s="13"/>
      <c r="H19" s="12" t="s">
        <v>605</v>
      </c>
      <c r="I19" s="12" t="s">
        <v>608</v>
      </c>
      <c r="J19" s="13"/>
      <c r="K19" s="3" t="s">
        <v>613</v>
      </c>
      <c r="L19" s="15" t="s">
        <v>616</v>
      </c>
      <c r="M19" s="15" t="s">
        <v>623</v>
      </c>
      <c r="N19" s="12" t="s">
        <v>46</v>
      </c>
      <c r="O19" s="13">
        <v>0</v>
      </c>
      <c r="P19" s="13"/>
      <c r="Q19" s="14" t="s">
        <v>83</v>
      </c>
      <c r="R19" s="12" t="s">
        <v>46</v>
      </c>
      <c r="S19" s="12"/>
      <c r="T19" s="12"/>
      <c r="U19" s="10">
        <v>1</v>
      </c>
      <c r="V19" s="12" t="s">
        <v>6</v>
      </c>
      <c r="W19" s="12" t="s">
        <v>80</v>
      </c>
      <c r="X19" s="15" t="s">
        <v>512</v>
      </c>
    </row>
    <row r="20" spans="2:24" ht="20.100000000000001" customHeight="1" x14ac:dyDescent="0.2">
      <c r="B20" s="13"/>
      <c r="C20" s="13"/>
      <c r="D20" s="38">
        <v>44809</v>
      </c>
      <c r="E20" s="13"/>
      <c r="F20" s="13"/>
      <c r="G20" s="13"/>
      <c r="H20" s="12" t="s">
        <v>605</v>
      </c>
      <c r="I20" s="12" t="s">
        <v>608</v>
      </c>
      <c r="J20" s="13"/>
      <c r="K20" s="3" t="s">
        <v>613</v>
      </c>
      <c r="L20" s="15" t="s">
        <v>614</v>
      </c>
      <c r="M20" s="15" t="s">
        <v>622</v>
      </c>
      <c r="N20" s="12" t="s">
        <v>46</v>
      </c>
      <c r="O20" s="13">
        <v>0</v>
      </c>
      <c r="P20" s="13"/>
      <c r="Q20" s="14" t="s">
        <v>414</v>
      </c>
      <c r="R20" s="12" t="s">
        <v>46</v>
      </c>
      <c r="S20" s="12"/>
      <c r="T20" s="12"/>
      <c r="U20" s="10">
        <v>1</v>
      </c>
      <c r="V20" s="12" t="s">
        <v>6</v>
      </c>
      <c r="W20" s="12" t="s">
        <v>80</v>
      </c>
      <c r="X20" s="15" t="s">
        <v>513</v>
      </c>
    </row>
    <row r="21" spans="2:24" ht="20.100000000000001" customHeight="1" x14ac:dyDescent="0.2">
      <c r="B21" s="13"/>
      <c r="C21" s="13"/>
      <c r="D21" s="38">
        <v>44810</v>
      </c>
      <c r="E21" s="13"/>
      <c r="F21" s="13"/>
      <c r="G21" s="13"/>
      <c r="H21" s="12" t="s">
        <v>605</v>
      </c>
      <c r="I21" s="12" t="s">
        <v>23</v>
      </c>
      <c r="J21" s="13"/>
      <c r="K21" s="3" t="s">
        <v>624</v>
      </c>
      <c r="L21" s="15" t="s">
        <v>607</v>
      </c>
      <c r="M21" s="15" t="s">
        <v>625</v>
      </c>
      <c r="N21" s="12" t="s">
        <v>626</v>
      </c>
      <c r="O21" s="13">
        <v>0</v>
      </c>
      <c r="P21" s="13"/>
      <c r="Q21" s="14" t="s">
        <v>171</v>
      </c>
      <c r="R21" s="12" t="s">
        <v>46</v>
      </c>
      <c r="S21" s="12" t="s">
        <v>176</v>
      </c>
      <c r="T21" s="12" t="s">
        <v>173</v>
      </c>
      <c r="U21" s="10">
        <v>1</v>
      </c>
      <c r="V21" s="12" t="s">
        <v>6</v>
      </c>
      <c r="W21" s="12" t="s">
        <v>232</v>
      </c>
      <c r="X21" s="15" t="s">
        <v>514</v>
      </c>
    </row>
    <row r="22" spans="2:24" ht="20.100000000000001" customHeight="1" x14ac:dyDescent="0.2">
      <c r="B22" s="13"/>
      <c r="C22" s="13"/>
      <c r="D22" s="38">
        <v>44810</v>
      </c>
      <c r="E22" s="13"/>
      <c r="F22" s="13"/>
      <c r="G22" s="13"/>
      <c r="H22" s="12" t="s">
        <v>605</v>
      </c>
      <c r="I22" s="12" t="s">
        <v>23</v>
      </c>
      <c r="J22" s="13"/>
      <c r="K22" s="3" t="s">
        <v>624</v>
      </c>
      <c r="L22" s="15" t="s">
        <v>607</v>
      </c>
      <c r="M22" s="15" t="s">
        <v>625</v>
      </c>
      <c r="N22" s="12" t="s">
        <v>626</v>
      </c>
      <c r="O22" s="13">
        <v>0</v>
      </c>
      <c r="P22" s="13"/>
      <c r="Q22" s="14" t="s">
        <v>175</v>
      </c>
      <c r="R22" s="12" t="s">
        <v>46</v>
      </c>
      <c r="S22" s="12" t="s">
        <v>176</v>
      </c>
      <c r="T22" s="12" t="s">
        <v>177</v>
      </c>
      <c r="U22" s="10">
        <v>1</v>
      </c>
      <c r="V22" s="12" t="s">
        <v>6</v>
      </c>
      <c r="W22" s="12" t="s">
        <v>232</v>
      </c>
      <c r="X22" s="15" t="s">
        <v>514</v>
      </c>
    </row>
    <row r="23" spans="2:24" ht="20.100000000000001" customHeight="1" x14ac:dyDescent="0.2">
      <c r="B23" s="13"/>
      <c r="C23" s="13"/>
      <c r="D23" s="38">
        <v>44817</v>
      </c>
      <c r="E23" s="13"/>
      <c r="F23" s="13"/>
      <c r="G23" s="13"/>
      <c r="H23" s="12" t="s">
        <v>605</v>
      </c>
      <c r="I23" s="12" t="s">
        <v>608</v>
      </c>
      <c r="J23" s="13"/>
      <c r="K23" s="3" t="s">
        <v>613</v>
      </c>
      <c r="L23" s="15" t="s">
        <v>618</v>
      </c>
      <c r="M23" s="15" t="s">
        <v>627</v>
      </c>
      <c r="N23" s="12" t="s">
        <v>46</v>
      </c>
      <c r="O23" s="13">
        <v>0</v>
      </c>
      <c r="P23" s="13"/>
      <c r="Q23" s="14" t="s">
        <v>87</v>
      </c>
      <c r="R23" s="12" t="s">
        <v>46</v>
      </c>
      <c r="S23" s="12"/>
      <c r="T23" s="12" t="s">
        <v>88</v>
      </c>
      <c r="U23" s="10">
        <v>1</v>
      </c>
      <c r="V23" s="12" t="s">
        <v>6</v>
      </c>
      <c r="W23" s="12" t="s">
        <v>89</v>
      </c>
      <c r="X23" s="15" t="s">
        <v>515</v>
      </c>
    </row>
    <row r="24" spans="2:24" ht="20.100000000000001" customHeight="1" x14ac:dyDescent="0.2">
      <c r="B24" s="13"/>
      <c r="C24" s="13"/>
      <c r="D24" s="38">
        <v>44830</v>
      </c>
      <c r="E24" s="13"/>
      <c r="F24" s="13"/>
      <c r="G24" s="13"/>
      <c r="H24" s="12" t="s">
        <v>605</v>
      </c>
      <c r="I24" s="12" t="s">
        <v>23</v>
      </c>
      <c r="J24" s="13"/>
      <c r="K24" s="3" t="s">
        <v>624</v>
      </c>
      <c r="L24" s="15" t="s">
        <v>628</v>
      </c>
      <c r="M24" s="15" t="s">
        <v>629</v>
      </c>
      <c r="N24" s="12" t="s">
        <v>630</v>
      </c>
      <c r="O24" s="13">
        <v>0</v>
      </c>
      <c r="P24" s="13"/>
      <c r="Q24" s="14" t="s">
        <v>415</v>
      </c>
      <c r="R24" s="12" t="s">
        <v>46</v>
      </c>
      <c r="S24" s="12"/>
      <c r="T24" s="12"/>
      <c r="U24" s="10">
        <v>2</v>
      </c>
      <c r="V24" s="12" t="s">
        <v>64</v>
      </c>
      <c r="W24" s="12" t="s">
        <v>55</v>
      </c>
      <c r="X24" s="15" t="s">
        <v>516</v>
      </c>
    </row>
    <row r="25" spans="2:24" ht="20.100000000000001" customHeight="1" x14ac:dyDescent="0.2">
      <c r="B25" s="13"/>
      <c r="C25" s="13"/>
      <c r="D25" s="38">
        <v>44830</v>
      </c>
      <c r="E25" s="13"/>
      <c r="F25" s="13"/>
      <c r="G25" s="13"/>
      <c r="H25" s="12" t="s">
        <v>605</v>
      </c>
      <c r="I25" s="12" t="s">
        <v>23</v>
      </c>
      <c r="J25" s="13"/>
      <c r="K25" s="3" t="s">
        <v>624</v>
      </c>
      <c r="L25" s="15" t="s">
        <v>628</v>
      </c>
      <c r="M25" s="15" t="s">
        <v>629</v>
      </c>
      <c r="N25" s="12" t="s">
        <v>630</v>
      </c>
      <c r="O25" s="13">
        <v>0</v>
      </c>
      <c r="P25" s="13"/>
      <c r="Q25" s="14" t="s">
        <v>416</v>
      </c>
      <c r="R25" s="16" t="s">
        <v>46</v>
      </c>
      <c r="S25" s="12"/>
      <c r="T25" s="12"/>
      <c r="U25" s="10">
        <v>1</v>
      </c>
      <c r="V25" s="12" t="s">
        <v>64</v>
      </c>
      <c r="W25" s="12" t="s">
        <v>55</v>
      </c>
      <c r="X25" s="15" t="s">
        <v>516</v>
      </c>
    </row>
    <row r="26" spans="2:24" ht="20.100000000000001" customHeight="1" x14ac:dyDescent="0.2">
      <c r="B26" s="13"/>
      <c r="C26" s="13"/>
      <c r="D26" s="38">
        <v>44831</v>
      </c>
      <c r="E26" s="13"/>
      <c r="F26" s="13"/>
      <c r="G26" s="13"/>
      <c r="H26" s="12" t="s">
        <v>605</v>
      </c>
      <c r="I26" s="12" t="s">
        <v>608</v>
      </c>
      <c r="J26" s="13"/>
      <c r="K26" s="3" t="s">
        <v>613</v>
      </c>
      <c r="L26" s="15" t="s">
        <v>631</v>
      </c>
      <c r="M26" s="15" t="s">
        <v>632</v>
      </c>
      <c r="N26" s="12" t="s">
        <v>46</v>
      </c>
      <c r="O26" s="13">
        <v>0</v>
      </c>
      <c r="P26" s="13"/>
      <c r="Q26" s="14" t="s">
        <v>417</v>
      </c>
      <c r="R26" s="17" t="s">
        <v>468</v>
      </c>
      <c r="S26" s="12"/>
      <c r="T26" s="12"/>
      <c r="U26" s="10">
        <v>1</v>
      </c>
      <c r="V26" s="12" t="s">
        <v>6</v>
      </c>
      <c r="W26" s="12" t="s">
        <v>55</v>
      </c>
      <c r="X26" s="15" t="s">
        <v>517</v>
      </c>
    </row>
    <row r="27" spans="2:24" ht="20.100000000000001" customHeight="1" x14ac:dyDescent="0.2">
      <c r="B27" s="13"/>
      <c r="C27" s="13"/>
      <c r="D27" s="38">
        <v>44833</v>
      </c>
      <c r="E27" s="13"/>
      <c r="F27" s="13"/>
      <c r="G27" s="13"/>
      <c r="H27" s="12" t="s">
        <v>605</v>
      </c>
      <c r="I27" s="12" t="s">
        <v>608</v>
      </c>
      <c r="J27" s="13"/>
      <c r="K27" s="3" t="s">
        <v>604</v>
      </c>
      <c r="L27" s="15" t="s">
        <v>607</v>
      </c>
      <c r="M27" s="15" t="s">
        <v>633</v>
      </c>
      <c r="N27" s="12" t="s">
        <v>46</v>
      </c>
      <c r="O27" s="13">
        <v>0</v>
      </c>
      <c r="P27" s="13"/>
      <c r="Q27" s="14" t="s">
        <v>788</v>
      </c>
      <c r="R27" s="12" t="s">
        <v>191</v>
      </c>
      <c r="S27" s="12"/>
      <c r="T27" s="12"/>
      <c r="U27" s="10">
        <v>170</v>
      </c>
      <c r="V27" s="12" t="s">
        <v>186</v>
      </c>
      <c r="W27" s="12" t="s">
        <v>55</v>
      </c>
      <c r="X27" s="15" t="s">
        <v>518</v>
      </c>
    </row>
    <row r="28" spans="2:24" ht="20.100000000000001" customHeight="1" x14ac:dyDescent="0.2">
      <c r="B28" s="13"/>
      <c r="C28" s="13"/>
      <c r="D28" s="38">
        <v>44838</v>
      </c>
      <c r="E28" s="13"/>
      <c r="F28" s="13"/>
      <c r="G28" s="13"/>
      <c r="H28" s="12" t="s">
        <v>605</v>
      </c>
      <c r="I28" s="12" t="s">
        <v>634</v>
      </c>
      <c r="J28" s="13"/>
      <c r="K28" s="3" t="s">
        <v>613</v>
      </c>
      <c r="L28" s="15" t="s">
        <v>635</v>
      </c>
      <c r="M28" s="15" t="s">
        <v>636</v>
      </c>
      <c r="N28" s="12" t="s">
        <v>46</v>
      </c>
      <c r="O28" s="13">
        <v>0</v>
      </c>
      <c r="P28" s="13"/>
      <c r="Q28" s="14" t="s">
        <v>418</v>
      </c>
      <c r="R28" s="17" t="s">
        <v>46</v>
      </c>
      <c r="S28" s="12"/>
      <c r="T28" s="12"/>
      <c r="U28" s="10">
        <v>1</v>
      </c>
      <c r="V28" s="12" t="s">
        <v>6</v>
      </c>
      <c r="W28" s="12" t="s">
        <v>232</v>
      </c>
      <c r="X28" s="15" t="s">
        <v>519</v>
      </c>
    </row>
    <row r="29" spans="2:24" ht="20.100000000000001" customHeight="1" x14ac:dyDescent="0.2">
      <c r="B29" s="13"/>
      <c r="C29" s="13"/>
      <c r="D29" s="38">
        <v>44838</v>
      </c>
      <c r="E29" s="13"/>
      <c r="F29" s="13"/>
      <c r="G29" s="13"/>
      <c r="H29" s="12" t="s">
        <v>605</v>
      </c>
      <c r="I29" s="12" t="s">
        <v>606</v>
      </c>
      <c r="J29" s="13"/>
      <c r="K29" s="3" t="s">
        <v>604</v>
      </c>
      <c r="L29" s="15" t="s">
        <v>607</v>
      </c>
      <c r="M29" s="15" t="s">
        <v>640</v>
      </c>
      <c r="N29" s="12" t="s">
        <v>46</v>
      </c>
      <c r="O29" s="13">
        <v>0</v>
      </c>
      <c r="P29" s="13"/>
      <c r="Q29" s="14" t="s">
        <v>780</v>
      </c>
      <c r="R29" s="17" t="s">
        <v>212</v>
      </c>
      <c r="S29" s="12" t="s">
        <v>213</v>
      </c>
      <c r="T29" s="12"/>
      <c r="U29" s="10">
        <v>2</v>
      </c>
      <c r="V29" s="12" t="s">
        <v>6</v>
      </c>
      <c r="W29" s="12" t="s">
        <v>55</v>
      </c>
      <c r="X29" s="15" t="s">
        <v>520</v>
      </c>
    </row>
    <row r="30" spans="2:24" ht="20.100000000000001" customHeight="1" x14ac:dyDescent="0.2">
      <c r="B30" s="13"/>
      <c r="C30" s="13"/>
      <c r="D30" s="38">
        <v>44838</v>
      </c>
      <c r="E30" s="13"/>
      <c r="F30" s="13"/>
      <c r="G30" s="13"/>
      <c r="H30" s="12" t="s">
        <v>605</v>
      </c>
      <c r="I30" s="12" t="s">
        <v>606</v>
      </c>
      <c r="J30" s="13"/>
      <c r="K30" s="3" t="s">
        <v>604</v>
      </c>
      <c r="L30" s="15" t="s">
        <v>607</v>
      </c>
      <c r="M30" s="15" t="s">
        <v>639</v>
      </c>
      <c r="N30" s="12" t="s">
        <v>46</v>
      </c>
      <c r="O30" s="13">
        <v>0</v>
      </c>
      <c r="P30" s="13"/>
      <c r="Q30" s="14" t="s">
        <v>859</v>
      </c>
      <c r="R30" s="16" t="s">
        <v>218</v>
      </c>
      <c r="S30" s="12" t="s">
        <v>219</v>
      </c>
      <c r="T30" s="12"/>
      <c r="U30" s="10">
        <v>1</v>
      </c>
      <c r="V30" s="12" t="s">
        <v>6</v>
      </c>
      <c r="W30" s="12" t="s">
        <v>55</v>
      </c>
      <c r="X30" s="15" t="s">
        <v>520</v>
      </c>
    </row>
    <row r="31" spans="2:24" ht="20.100000000000001" customHeight="1" x14ac:dyDescent="0.2">
      <c r="B31" s="13"/>
      <c r="C31" s="13"/>
      <c r="D31" s="38">
        <v>44838</v>
      </c>
      <c r="E31" s="13"/>
      <c r="F31" s="13"/>
      <c r="G31" s="13"/>
      <c r="H31" s="12" t="s">
        <v>605</v>
      </c>
      <c r="I31" s="12" t="s">
        <v>606</v>
      </c>
      <c r="J31" s="13"/>
      <c r="K31" s="3" t="s">
        <v>604</v>
      </c>
      <c r="L31" s="15" t="s">
        <v>607</v>
      </c>
      <c r="M31" s="15" t="s">
        <v>638</v>
      </c>
      <c r="N31" s="12" t="s">
        <v>46</v>
      </c>
      <c r="O31" s="13">
        <v>0</v>
      </c>
      <c r="P31" s="13"/>
      <c r="Q31" s="14" t="s">
        <v>858</v>
      </c>
      <c r="R31" s="17" t="s">
        <v>469</v>
      </c>
      <c r="S31" s="12"/>
      <c r="T31" s="12"/>
      <c r="U31" s="10">
        <v>1</v>
      </c>
      <c r="V31" s="12" t="s">
        <v>6</v>
      </c>
      <c r="W31" s="12" t="s">
        <v>55</v>
      </c>
      <c r="X31" s="15" t="s">
        <v>520</v>
      </c>
    </row>
    <row r="32" spans="2:24" ht="20.100000000000001" customHeight="1" x14ac:dyDescent="0.2">
      <c r="B32" s="13"/>
      <c r="C32" s="13"/>
      <c r="D32" s="38">
        <v>44838</v>
      </c>
      <c r="E32" s="13"/>
      <c r="F32" s="13"/>
      <c r="G32" s="13"/>
      <c r="H32" s="12" t="s">
        <v>605</v>
      </c>
      <c r="I32" s="12" t="s">
        <v>606</v>
      </c>
      <c r="J32" s="13"/>
      <c r="K32" s="3" t="s">
        <v>604</v>
      </c>
      <c r="L32" s="15" t="s">
        <v>607</v>
      </c>
      <c r="M32" s="15" t="s">
        <v>642</v>
      </c>
      <c r="N32" s="12" t="s">
        <v>46</v>
      </c>
      <c r="O32" s="13">
        <v>0</v>
      </c>
      <c r="P32" s="13"/>
      <c r="Q32" s="14" t="s">
        <v>860</v>
      </c>
      <c r="R32" s="12" t="s">
        <v>218</v>
      </c>
      <c r="S32" s="12"/>
      <c r="T32" s="12"/>
      <c r="U32" s="10">
        <v>1</v>
      </c>
      <c r="V32" s="12" t="s">
        <v>6</v>
      </c>
      <c r="W32" s="12" t="s">
        <v>55</v>
      </c>
      <c r="X32" s="15" t="s">
        <v>520</v>
      </c>
    </row>
    <row r="33" spans="2:24" ht="20.100000000000001" customHeight="1" x14ac:dyDescent="0.2">
      <c r="B33" s="13"/>
      <c r="C33" s="13"/>
      <c r="D33" s="38">
        <v>44838</v>
      </c>
      <c r="E33" s="13"/>
      <c r="F33" s="13"/>
      <c r="G33" s="13"/>
      <c r="H33" s="12" t="s">
        <v>605</v>
      </c>
      <c r="I33" s="12" t="s">
        <v>606</v>
      </c>
      <c r="J33" s="13"/>
      <c r="K33" s="3" t="s">
        <v>604</v>
      </c>
      <c r="L33" s="15" t="s">
        <v>607</v>
      </c>
      <c r="M33" s="15" t="s">
        <v>637</v>
      </c>
      <c r="N33" s="12" t="s">
        <v>46</v>
      </c>
      <c r="O33" s="13">
        <v>0</v>
      </c>
      <c r="P33" s="13"/>
      <c r="Q33" s="14" t="s">
        <v>184</v>
      </c>
      <c r="R33" s="12" t="s">
        <v>183</v>
      </c>
      <c r="S33" s="12"/>
      <c r="T33" s="12"/>
      <c r="U33" s="10">
        <v>40</v>
      </c>
      <c r="V33" s="12" t="s">
        <v>186</v>
      </c>
      <c r="W33" s="12" t="s">
        <v>55</v>
      </c>
      <c r="X33" s="15" t="s">
        <v>520</v>
      </c>
    </row>
    <row r="34" spans="2:24" ht="20.100000000000001" customHeight="1" x14ac:dyDescent="0.2">
      <c r="B34" s="13"/>
      <c r="C34" s="13"/>
      <c r="D34" s="38">
        <v>44838</v>
      </c>
      <c r="E34" s="13"/>
      <c r="F34" s="13"/>
      <c r="G34" s="13"/>
      <c r="H34" s="12" t="s">
        <v>605</v>
      </c>
      <c r="I34" s="12" t="s">
        <v>606</v>
      </c>
      <c r="J34" s="13"/>
      <c r="K34" s="3" t="s">
        <v>604</v>
      </c>
      <c r="L34" s="15" t="s">
        <v>607</v>
      </c>
      <c r="M34" s="15" t="s">
        <v>643</v>
      </c>
      <c r="N34" s="12" t="s">
        <v>46</v>
      </c>
      <c r="O34" s="13">
        <v>0</v>
      </c>
      <c r="P34" s="13"/>
      <c r="Q34" s="14" t="s">
        <v>861</v>
      </c>
      <c r="R34" s="12" t="s">
        <v>46</v>
      </c>
      <c r="S34" s="12"/>
      <c r="T34" s="12"/>
      <c r="U34" s="10">
        <v>1</v>
      </c>
      <c r="V34" s="12" t="s">
        <v>6</v>
      </c>
      <c r="W34" s="12" t="s">
        <v>55</v>
      </c>
      <c r="X34" s="15" t="s">
        <v>641</v>
      </c>
    </row>
    <row r="35" spans="2:24" ht="20.100000000000001" customHeight="1" x14ac:dyDescent="0.2">
      <c r="B35" s="13"/>
      <c r="C35" s="13"/>
      <c r="D35" s="38">
        <v>44838</v>
      </c>
      <c r="E35" s="13"/>
      <c r="F35" s="13"/>
      <c r="G35" s="13"/>
      <c r="H35" s="12" t="s">
        <v>605</v>
      </c>
      <c r="I35" s="12" t="s">
        <v>606</v>
      </c>
      <c r="J35" s="13"/>
      <c r="K35" s="3" t="s">
        <v>604</v>
      </c>
      <c r="L35" s="15" t="s">
        <v>607</v>
      </c>
      <c r="M35" s="15" t="s">
        <v>644</v>
      </c>
      <c r="N35" s="12" t="s">
        <v>46</v>
      </c>
      <c r="O35" s="13">
        <v>0</v>
      </c>
      <c r="P35" s="13"/>
      <c r="Q35" s="14" t="s">
        <v>866</v>
      </c>
      <c r="R35" s="17" t="s">
        <v>46</v>
      </c>
      <c r="S35" s="12"/>
      <c r="T35" s="12"/>
      <c r="U35" s="10">
        <v>2</v>
      </c>
      <c r="V35" s="12" t="s">
        <v>6</v>
      </c>
      <c r="W35" s="12" t="s">
        <v>55</v>
      </c>
      <c r="X35" s="15" t="s">
        <v>520</v>
      </c>
    </row>
    <row r="36" spans="2:24" ht="20.100000000000001" customHeight="1" x14ac:dyDescent="0.2">
      <c r="B36" s="13"/>
      <c r="C36" s="13"/>
      <c r="D36" s="38">
        <v>44838</v>
      </c>
      <c r="E36" s="13"/>
      <c r="F36" s="13"/>
      <c r="G36" s="13"/>
      <c r="H36" s="12" t="s">
        <v>605</v>
      </c>
      <c r="I36" s="12" t="s">
        <v>606</v>
      </c>
      <c r="J36" s="13"/>
      <c r="K36" s="3" t="s">
        <v>604</v>
      </c>
      <c r="L36" s="15" t="s">
        <v>607</v>
      </c>
      <c r="M36" s="15" t="s">
        <v>645</v>
      </c>
      <c r="N36" s="12" t="s">
        <v>46</v>
      </c>
      <c r="O36" s="13">
        <v>0</v>
      </c>
      <c r="P36" s="13"/>
      <c r="Q36" s="14" t="s">
        <v>162</v>
      </c>
      <c r="R36" s="12" t="s">
        <v>161</v>
      </c>
      <c r="S36" s="12"/>
      <c r="T36" s="12"/>
      <c r="U36" s="10">
        <v>3</v>
      </c>
      <c r="V36" s="12" t="s">
        <v>6</v>
      </c>
      <c r="W36" s="12" t="s">
        <v>55</v>
      </c>
      <c r="X36" s="15" t="s">
        <v>520</v>
      </c>
    </row>
    <row r="37" spans="2:24" ht="20.100000000000001" customHeight="1" x14ac:dyDescent="0.2">
      <c r="B37" s="13"/>
      <c r="C37" s="13"/>
      <c r="D37" s="38">
        <v>44838</v>
      </c>
      <c r="E37" s="13"/>
      <c r="F37" s="13"/>
      <c r="G37" s="13"/>
      <c r="H37" s="12" t="s">
        <v>605</v>
      </c>
      <c r="I37" s="12" t="s">
        <v>606</v>
      </c>
      <c r="J37" s="13"/>
      <c r="K37" s="3" t="s">
        <v>604</v>
      </c>
      <c r="L37" s="15" t="s">
        <v>607</v>
      </c>
      <c r="M37" s="15" t="s">
        <v>646</v>
      </c>
      <c r="N37" s="12" t="s">
        <v>46</v>
      </c>
      <c r="O37" s="13">
        <v>0</v>
      </c>
      <c r="P37" s="13"/>
      <c r="Q37" s="14" t="s">
        <v>419</v>
      </c>
      <c r="R37" s="12" t="s">
        <v>46</v>
      </c>
      <c r="S37" s="12"/>
      <c r="T37" s="12"/>
      <c r="U37" s="10">
        <v>1</v>
      </c>
      <c r="V37" s="12" t="s">
        <v>6</v>
      </c>
      <c r="W37" s="12" t="s">
        <v>55</v>
      </c>
      <c r="X37" s="15" t="s">
        <v>520</v>
      </c>
    </row>
    <row r="38" spans="2:24" ht="20.100000000000001" customHeight="1" x14ac:dyDescent="0.2">
      <c r="B38" s="13"/>
      <c r="C38" s="13"/>
      <c r="D38" s="38">
        <v>44838</v>
      </c>
      <c r="E38" s="13"/>
      <c r="F38" s="13"/>
      <c r="G38" s="13"/>
      <c r="H38" s="12" t="s">
        <v>605</v>
      </c>
      <c r="I38" s="12" t="s">
        <v>606</v>
      </c>
      <c r="J38" s="13"/>
      <c r="K38" s="3" t="s">
        <v>604</v>
      </c>
      <c r="L38" s="15" t="s">
        <v>607</v>
      </c>
      <c r="M38" s="15" t="s">
        <v>647</v>
      </c>
      <c r="N38" s="12" t="s">
        <v>46</v>
      </c>
      <c r="O38" s="13">
        <v>0</v>
      </c>
      <c r="P38" s="13"/>
      <c r="Q38" s="14" t="s">
        <v>830</v>
      </c>
      <c r="R38" s="17" t="s">
        <v>188</v>
      </c>
      <c r="S38" s="12"/>
      <c r="T38" s="12"/>
      <c r="U38" s="10">
        <v>695</v>
      </c>
      <c r="V38" s="12" t="s">
        <v>186</v>
      </c>
      <c r="W38" s="12" t="s">
        <v>55</v>
      </c>
      <c r="X38" s="15" t="s">
        <v>520</v>
      </c>
    </row>
    <row r="39" spans="2:24" ht="20.100000000000001" customHeight="1" x14ac:dyDescent="0.2">
      <c r="B39" s="13"/>
      <c r="C39" s="13"/>
      <c r="D39" s="38">
        <v>44839</v>
      </c>
      <c r="E39" s="13"/>
      <c r="F39" s="13"/>
      <c r="G39" s="13"/>
      <c r="H39" s="12" t="s">
        <v>605</v>
      </c>
      <c r="I39" s="12" t="s">
        <v>608</v>
      </c>
      <c r="J39" s="13"/>
      <c r="K39" s="3" t="s">
        <v>604</v>
      </c>
      <c r="L39" s="15" t="s">
        <v>607</v>
      </c>
      <c r="M39" s="15" t="s">
        <v>648</v>
      </c>
      <c r="N39" s="12" t="s">
        <v>46</v>
      </c>
      <c r="O39" s="13">
        <v>0</v>
      </c>
      <c r="P39" s="13"/>
      <c r="Q39" s="14" t="s">
        <v>780</v>
      </c>
      <c r="R39" s="17" t="s">
        <v>212</v>
      </c>
      <c r="S39" s="12" t="s">
        <v>213</v>
      </c>
      <c r="T39" s="12"/>
      <c r="U39" s="10">
        <v>4</v>
      </c>
      <c r="V39" s="12" t="s">
        <v>6</v>
      </c>
      <c r="W39" s="12" t="s">
        <v>55</v>
      </c>
      <c r="X39" s="15" t="s">
        <v>521</v>
      </c>
    </row>
    <row r="40" spans="2:24" ht="20.100000000000001" customHeight="1" x14ac:dyDescent="0.2">
      <c r="B40" s="13"/>
      <c r="C40" s="13"/>
      <c r="D40" s="38">
        <v>44839</v>
      </c>
      <c r="E40" s="13"/>
      <c r="F40" s="13"/>
      <c r="G40" s="13"/>
      <c r="H40" s="12" t="s">
        <v>605</v>
      </c>
      <c r="I40" s="12" t="s">
        <v>608</v>
      </c>
      <c r="J40" s="13"/>
      <c r="K40" s="3" t="s">
        <v>604</v>
      </c>
      <c r="L40" s="15" t="s">
        <v>607</v>
      </c>
      <c r="M40" s="15" t="s">
        <v>649</v>
      </c>
      <c r="N40" s="12" t="s">
        <v>46</v>
      </c>
      <c r="O40" s="13">
        <v>0</v>
      </c>
      <c r="P40" s="13"/>
      <c r="Q40" s="14" t="s">
        <v>781</v>
      </c>
      <c r="R40" s="12" t="s">
        <v>216</v>
      </c>
      <c r="S40" s="12" t="s">
        <v>213</v>
      </c>
      <c r="T40" s="12"/>
      <c r="U40" s="10">
        <v>2</v>
      </c>
      <c r="V40" s="12" t="s">
        <v>6</v>
      </c>
      <c r="W40" s="12" t="s">
        <v>55</v>
      </c>
      <c r="X40" s="15" t="s">
        <v>521</v>
      </c>
    </row>
    <row r="41" spans="2:24" ht="20.100000000000001" customHeight="1" x14ac:dyDescent="0.2">
      <c r="B41" s="13"/>
      <c r="C41" s="13"/>
      <c r="D41" s="38">
        <v>44839</v>
      </c>
      <c r="E41" s="13"/>
      <c r="F41" s="13"/>
      <c r="G41" s="13"/>
      <c r="H41" s="12" t="s">
        <v>605</v>
      </c>
      <c r="I41" s="12" t="s">
        <v>608</v>
      </c>
      <c r="J41" s="13"/>
      <c r="K41" s="3" t="s">
        <v>604</v>
      </c>
      <c r="L41" s="15" t="s">
        <v>607</v>
      </c>
      <c r="M41" s="15" t="s">
        <v>650</v>
      </c>
      <c r="N41" s="12" t="s">
        <v>46</v>
      </c>
      <c r="O41" s="13">
        <v>0</v>
      </c>
      <c r="P41" s="13"/>
      <c r="Q41" s="14" t="s">
        <v>184</v>
      </c>
      <c r="R41" s="12" t="s">
        <v>183</v>
      </c>
      <c r="S41" s="12"/>
      <c r="T41" s="12"/>
      <c r="U41" s="10">
        <v>80</v>
      </c>
      <c r="V41" s="12" t="s">
        <v>186</v>
      </c>
      <c r="W41" s="12" t="s">
        <v>55</v>
      </c>
      <c r="X41" s="15" t="s">
        <v>521</v>
      </c>
    </row>
    <row r="42" spans="2:24" ht="20.100000000000001" customHeight="1" x14ac:dyDescent="0.2">
      <c r="B42" s="13"/>
      <c r="C42" s="13"/>
      <c r="D42" s="38">
        <v>44839</v>
      </c>
      <c r="E42" s="13"/>
      <c r="F42" s="13"/>
      <c r="G42" s="13"/>
      <c r="H42" s="12" t="s">
        <v>605</v>
      </c>
      <c r="I42" s="12" t="s">
        <v>608</v>
      </c>
      <c r="J42" s="13"/>
      <c r="K42" s="28" t="s">
        <v>601</v>
      </c>
      <c r="L42" s="15" t="s">
        <v>602</v>
      </c>
      <c r="M42" s="15" t="s">
        <v>651</v>
      </c>
      <c r="N42" s="12" t="s">
        <v>46</v>
      </c>
      <c r="O42" s="13">
        <v>0</v>
      </c>
      <c r="P42" s="13"/>
      <c r="Q42" s="14" t="s">
        <v>420</v>
      </c>
      <c r="R42" s="12" t="s">
        <v>46</v>
      </c>
      <c r="S42" s="12"/>
      <c r="T42" s="12"/>
      <c r="U42" s="10">
        <v>1</v>
      </c>
      <c r="V42" s="12" t="s">
        <v>6</v>
      </c>
      <c r="W42" s="12" t="s">
        <v>55</v>
      </c>
      <c r="X42" s="15" t="s">
        <v>521</v>
      </c>
    </row>
    <row r="43" spans="2:24" ht="20.100000000000001" customHeight="1" x14ac:dyDescent="0.2">
      <c r="B43" s="13"/>
      <c r="C43" s="13"/>
      <c r="D43" s="38">
        <v>44839</v>
      </c>
      <c r="E43" s="13"/>
      <c r="F43" s="13"/>
      <c r="G43" s="13"/>
      <c r="H43" s="12" t="s">
        <v>605</v>
      </c>
      <c r="I43" s="12" t="s">
        <v>608</v>
      </c>
      <c r="J43" s="13"/>
      <c r="K43" s="3" t="s">
        <v>604</v>
      </c>
      <c r="L43" s="15" t="s">
        <v>607</v>
      </c>
      <c r="M43" s="15" t="s">
        <v>652</v>
      </c>
      <c r="N43" s="12" t="s">
        <v>46</v>
      </c>
      <c r="O43" s="13">
        <v>0</v>
      </c>
      <c r="P43" s="13"/>
      <c r="Q43" s="14" t="s">
        <v>830</v>
      </c>
      <c r="R43" s="17" t="s">
        <v>188</v>
      </c>
      <c r="S43" s="12"/>
      <c r="T43" s="12"/>
      <c r="U43" s="10">
        <v>541</v>
      </c>
      <c r="V43" s="12" t="s">
        <v>186</v>
      </c>
      <c r="W43" s="12" t="s">
        <v>55</v>
      </c>
      <c r="X43" s="15" t="s">
        <v>521</v>
      </c>
    </row>
    <row r="44" spans="2:24" ht="20.100000000000001" customHeight="1" x14ac:dyDescent="0.2">
      <c r="B44" s="13"/>
      <c r="C44" s="13"/>
      <c r="D44" s="38">
        <v>44840</v>
      </c>
      <c r="E44" s="13"/>
      <c r="F44" s="13"/>
      <c r="G44" s="13"/>
      <c r="H44" s="12" t="s">
        <v>605</v>
      </c>
      <c r="I44" s="12" t="s">
        <v>608</v>
      </c>
      <c r="J44" s="13"/>
      <c r="K44" s="3" t="s">
        <v>604</v>
      </c>
      <c r="L44" s="6" t="s">
        <v>607</v>
      </c>
      <c r="M44" s="15" t="s">
        <v>653</v>
      </c>
      <c r="N44" s="12" t="s">
        <v>46</v>
      </c>
      <c r="O44" s="13">
        <v>0</v>
      </c>
      <c r="P44" s="13"/>
      <c r="Q44" s="14" t="s">
        <v>162</v>
      </c>
      <c r="R44" s="12" t="s">
        <v>161</v>
      </c>
      <c r="S44" s="12" t="s">
        <v>163</v>
      </c>
      <c r="T44" s="12"/>
      <c r="U44" s="10">
        <v>6</v>
      </c>
      <c r="V44" s="12" t="s">
        <v>6</v>
      </c>
      <c r="W44" s="12" t="s">
        <v>55</v>
      </c>
      <c r="X44" s="15" t="s">
        <v>522</v>
      </c>
    </row>
    <row r="45" spans="2:24" ht="20.100000000000001" customHeight="1" x14ac:dyDescent="0.2">
      <c r="B45" s="13"/>
      <c r="C45" s="13"/>
      <c r="D45" s="38">
        <v>44840</v>
      </c>
      <c r="E45" s="13"/>
      <c r="F45" s="13"/>
      <c r="G45" s="13"/>
      <c r="H45" s="12" t="s">
        <v>605</v>
      </c>
      <c r="I45" s="12" t="s">
        <v>608</v>
      </c>
      <c r="J45" s="13"/>
      <c r="K45" s="3" t="s">
        <v>624</v>
      </c>
      <c r="L45" s="15" t="s">
        <v>654</v>
      </c>
      <c r="M45" s="15" t="s">
        <v>655</v>
      </c>
      <c r="N45" s="12" t="s">
        <v>46</v>
      </c>
      <c r="O45" s="13">
        <v>0</v>
      </c>
      <c r="P45" s="13"/>
      <c r="Q45" s="14" t="s">
        <v>421</v>
      </c>
      <c r="R45" s="12" t="s">
        <v>46</v>
      </c>
      <c r="S45" s="12"/>
      <c r="T45" s="12"/>
      <c r="U45" s="10">
        <v>4</v>
      </c>
      <c r="V45" s="12" t="s">
        <v>6</v>
      </c>
      <c r="W45" s="12" t="s">
        <v>232</v>
      </c>
      <c r="X45" s="15" t="s">
        <v>523</v>
      </c>
    </row>
    <row r="46" spans="2:24" ht="20.100000000000001" customHeight="1" x14ac:dyDescent="0.2">
      <c r="B46" s="13"/>
      <c r="C46" s="13"/>
      <c r="D46" s="38">
        <v>44840</v>
      </c>
      <c r="E46" s="13"/>
      <c r="F46" s="13"/>
      <c r="G46" s="13"/>
      <c r="H46" s="12" t="s">
        <v>605</v>
      </c>
      <c r="I46" s="12" t="s">
        <v>608</v>
      </c>
      <c r="J46" s="13"/>
      <c r="K46" s="3" t="s">
        <v>624</v>
      </c>
      <c r="L46" s="15" t="s">
        <v>654</v>
      </c>
      <c r="M46" s="15" t="s">
        <v>655</v>
      </c>
      <c r="N46" s="12" t="s">
        <v>46</v>
      </c>
      <c r="O46" s="13">
        <v>0</v>
      </c>
      <c r="P46" s="13"/>
      <c r="Q46" s="14" t="s">
        <v>422</v>
      </c>
      <c r="R46" s="12" t="s">
        <v>46</v>
      </c>
      <c r="S46" s="12"/>
      <c r="T46" s="12"/>
      <c r="U46" s="10">
        <v>1</v>
      </c>
      <c r="V46" s="12" t="s">
        <v>6</v>
      </c>
      <c r="W46" s="12" t="s">
        <v>232</v>
      </c>
      <c r="X46" s="15" t="s">
        <v>523</v>
      </c>
    </row>
    <row r="47" spans="2:24" ht="20.100000000000001" customHeight="1" x14ac:dyDescent="0.2">
      <c r="B47" s="13"/>
      <c r="C47" s="13"/>
      <c r="D47" s="38">
        <v>44840</v>
      </c>
      <c r="E47" s="13"/>
      <c r="F47" s="13"/>
      <c r="G47" s="13"/>
      <c r="H47" s="12" t="s">
        <v>605</v>
      </c>
      <c r="I47" s="12" t="s">
        <v>608</v>
      </c>
      <c r="J47" s="13"/>
      <c r="K47" s="3" t="s">
        <v>624</v>
      </c>
      <c r="L47" s="15" t="s">
        <v>654</v>
      </c>
      <c r="M47" s="15" t="s">
        <v>655</v>
      </c>
      <c r="N47" s="12" t="s">
        <v>46</v>
      </c>
      <c r="O47" s="13">
        <v>0</v>
      </c>
      <c r="P47" s="13"/>
      <c r="Q47" s="14" t="s">
        <v>423</v>
      </c>
      <c r="R47" s="12" t="s">
        <v>46</v>
      </c>
      <c r="S47" s="12"/>
      <c r="T47" s="12"/>
      <c r="U47" s="10">
        <v>1</v>
      </c>
      <c r="V47" s="12" t="s">
        <v>6</v>
      </c>
      <c r="W47" s="12" t="s">
        <v>232</v>
      </c>
      <c r="X47" s="15" t="s">
        <v>523</v>
      </c>
    </row>
    <row r="48" spans="2:24" ht="20.100000000000001" customHeight="1" x14ac:dyDescent="0.2">
      <c r="B48" s="13"/>
      <c r="C48" s="13"/>
      <c r="D48" s="38">
        <v>44840</v>
      </c>
      <c r="E48" s="13"/>
      <c r="F48" s="13"/>
      <c r="G48" s="13"/>
      <c r="H48" s="12" t="s">
        <v>605</v>
      </c>
      <c r="I48" s="12" t="s">
        <v>608</v>
      </c>
      <c r="J48" s="13"/>
      <c r="K48" s="3" t="s">
        <v>624</v>
      </c>
      <c r="L48" s="15" t="s">
        <v>654</v>
      </c>
      <c r="M48" s="15" t="s">
        <v>655</v>
      </c>
      <c r="N48" s="12" t="s">
        <v>46</v>
      </c>
      <c r="O48" s="13">
        <v>0</v>
      </c>
      <c r="P48" s="13"/>
      <c r="Q48" s="14" t="s">
        <v>424</v>
      </c>
      <c r="R48" s="12" t="s">
        <v>46</v>
      </c>
      <c r="S48" s="12"/>
      <c r="T48" s="12"/>
      <c r="U48" s="10">
        <v>4</v>
      </c>
      <c r="V48" s="12" t="s">
        <v>6</v>
      </c>
      <c r="W48" s="12" t="s">
        <v>232</v>
      </c>
      <c r="X48" s="15" t="s">
        <v>523</v>
      </c>
    </row>
    <row r="49" spans="2:24" ht="20.100000000000001" customHeight="1" x14ac:dyDescent="0.2">
      <c r="B49" s="13"/>
      <c r="C49" s="13"/>
      <c r="D49" s="38">
        <v>44841</v>
      </c>
      <c r="E49" s="13"/>
      <c r="F49" s="13"/>
      <c r="G49" s="13"/>
      <c r="H49" s="12" t="s">
        <v>605</v>
      </c>
      <c r="I49" s="12" t="s">
        <v>656</v>
      </c>
      <c r="J49" s="13"/>
      <c r="K49" s="3" t="s">
        <v>624</v>
      </c>
      <c r="L49" s="15" t="s">
        <v>657</v>
      </c>
      <c r="M49" s="15" t="s">
        <v>658</v>
      </c>
      <c r="N49" s="12" t="s">
        <v>46</v>
      </c>
      <c r="O49" s="13">
        <v>0</v>
      </c>
      <c r="P49" s="13"/>
      <c r="Q49" s="14" t="s">
        <v>425</v>
      </c>
      <c r="R49" s="12" t="s">
        <v>46</v>
      </c>
      <c r="S49" s="12"/>
      <c r="T49" s="12"/>
      <c r="U49" s="10">
        <v>1</v>
      </c>
      <c r="V49" s="12" t="s">
        <v>6</v>
      </c>
      <c r="W49" s="12" t="s">
        <v>232</v>
      </c>
      <c r="X49" s="15" t="s">
        <v>524</v>
      </c>
    </row>
    <row r="50" spans="2:24" ht="20.100000000000001" customHeight="1" x14ac:dyDescent="0.2">
      <c r="B50" s="13"/>
      <c r="C50" s="13"/>
      <c r="D50" s="38">
        <v>44841</v>
      </c>
      <c r="E50" s="13"/>
      <c r="F50" s="13"/>
      <c r="G50" s="13"/>
      <c r="H50" s="12" t="s">
        <v>605</v>
      </c>
      <c r="I50" s="12" t="s">
        <v>656</v>
      </c>
      <c r="J50" s="13"/>
      <c r="K50" s="3" t="s">
        <v>624</v>
      </c>
      <c r="L50" s="15" t="s">
        <v>657</v>
      </c>
      <c r="M50" s="15" t="s">
        <v>658</v>
      </c>
      <c r="N50" s="12" t="s">
        <v>46</v>
      </c>
      <c r="O50" s="13">
        <v>0</v>
      </c>
      <c r="P50" s="13"/>
      <c r="Q50" s="14" t="s">
        <v>426</v>
      </c>
      <c r="R50" s="12" t="s">
        <v>46</v>
      </c>
      <c r="S50" s="12"/>
      <c r="T50" s="12"/>
      <c r="U50" s="10">
        <v>9</v>
      </c>
      <c r="V50" s="12" t="s">
        <v>160</v>
      </c>
      <c r="W50" s="12" t="s">
        <v>55</v>
      </c>
      <c r="X50" s="15" t="s">
        <v>525</v>
      </c>
    </row>
    <row r="51" spans="2:24" ht="20.100000000000001" customHeight="1" x14ac:dyDescent="0.2">
      <c r="B51" s="13"/>
      <c r="C51" s="13"/>
      <c r="D51" s="38">
        <v>44844</v>
      </c>
      <c r="E51" s="13"/>
      <c r="F51" s="13"/>
      <c r="G51" s="13"/>
      <c r="H51" s="12" t="s">
        <v>605</v>
      </c>
      <c r="I51" s="12" t="s">
        <v>663</v>
      </c>
      <c r="J51" s="13"/>
      <c r="K51" s="3" t="s">
        <v>604</v>
      </c>
      <c r="L51" s="15" t="s">
        <v>659</v>
      </c>
      <c r="M51" s="15" t="s">
        <v>660</v>
      </c>
      <c r="N51" s="12" t="s">
        <v>46</v>
      </c>
      <c r="O51" s="13">
        <v>0</v>
      </c>
      <c r="P51" s="13"/>
      <c r="Q51" s="14" t="s">
        <v>231</v>
      </c>
      <c r="R51" s="17" t="s">
        <v>188</v>
      </c>
      <c r="S51" s="12"/>
      <c r="T51" s="12"/>
      <c r="U51" s="10">
        <v>20</v>
      </c>
      <c r="V51" s="12" t="s">
        <v>186</v>
      </c>
      <c r="W51" s="12" t="s">
        <v>232</v>
      </c>
      <c r="X51" s="15" t="s">
        <v>526</v>
      </c>
    </row>
    <row r="52" spans="2:24" ht="20.100000000000001" customHeight="1" x14ac:dyDescent="0.2">
      <c r="B52" s="13"/>
      <c r="C52" s="13"/>
      <c r="D52" s="38">
        <v>44844</v>
      </c>
      <c r="E52" s="13"/>
      <c r="F52" s="13"/>
      <c r="G52" s="13"/>
      <c r="H52" s="12" t="s">
        <v>605</v>
      </c>
      <c r="I52" s="12" t="s">
        <v>608</v>
      </c>
      <c r="J52" s="13"/>
      <c r="K52" s="3" t="s">
        <v>604</v>
      </c>
      <c r="L52" s="15" t="s">
        <v>607</v>
      </c>
      <c r="M52" s="15" t="s">
        <v>661</v>
      </c>
      <c r="N52" s="12" t="s">
        <v>46</v>
      </c>
      <c r="O52" s="13">
        <v>0</v>
      </c>
      <c r="P52" s="13"/>
      <c r="Q52" s="14" t="s">
        <v>239</v>
      </c>
      <c r="R52" s="12" t="s">
        <v>238</v>
      </c>
      <c r="S52" s="12" t="s">
        <v>240</v>
      </c>
      <c r="T52" s="12"/>
      <c r="U52" s="10">
        <v>4</v>
      </c>
      <c r="V52" s="12" t="s">
        <v>6</v>
      </c>
      <c r="W52" s="12" t="s">
        <v>55</v>
      </c>
      <c r="X52" s="15" t="s">
        <v>527</v>
      </c>
    </row>
    <row r="53" spans="2:24" ht="20.100000000000001" customHeight="1" x14ac:dyDescent="0.2">
      <c r="B53" s="13"/>
      <c r="C53" s="13"/>
      <c r="D53" s="38">
        <v>44845</v>
      </c>
      <c r="E53" s="13"/>
      <c r="F53" s="13"/>
      <c r="G53" s="13"/>
      <c r="H53" s="12" t="s">
        <v>605</v>
      </c>
      <c r="I53" s="12" t="s">
        <v>662</v>
      </c>
      <c r="J53" s="13"/>
      <c r="K53" s="3" t="s">
        <v>624</v>
      </c>
      <c r="L53" s="15" t="s">
        <v>664</v>
      </c>
      <c r="M53" s="15" t="s">
        <v>665</v>
      </c>
      <c r="N53" s="12" t="s">
        <v>46</v>
      </c>
      <c r="O53" s="13">
        <v>0</v>
      </c>
      <c r="P53" s="13"/>
      <c r="Q53" s="14" t="s">
        <v>848</v>
      </c>
      <c r="R53" s="12" t="s">
        <v>470</v>
      </c>
      <c r="S53" s="12"/>
      <c r="T53" s="12"/>
      <c r="U53" s="10">
        <v>1</v>
      </c>
      <c r="V53" s="12" t="s">
        <v>6</v>
      </c>
      <c r="W53" s="12" t="s">
        <v>55</v>
      </c>
      <c r="X53" s="15" t="s">
        <v>528</v>
      </c>
    </row>
    <row r="54" spans="2:24" ht="20.100000000000001" customHeight="1" x14ac:dyDescent="0.2">
      <c r="B54" s="13"/>
      <c r="C54" s="13"/>
      <c r="D54" s="38">
        <v>44845</v>
      </c>
      <c r="E54" s="13"/>
      <c r="F54" s="13"/>
      <c r="G54" s="13"/>
      <c r="H54" s="12" t="s">
        <v>605</v>
      </c>
      <c r="I54" s="12" t="s">
        <v>662</v>
      </c>
      <c r="J54" s="13"/>
      <c r="K54" s="3" t="s">
        <v>624</v>
      </c>
      <c r="L54" s="15" t="s">
        <v>664</v>
      </c>
      <c r="M54" s="15" t="s">
        <v>666</v>
      </c>
      <c r="N54" s="12" t="s">
        <v>46</v>
      </c>
      <c r="O54" s="13">
        <v>0</v>
      </c>
      <c r="P54" s="13"/>
      <c r="Q54" s="14" t="s">
        <v>1258</v>
      </c>
      <c r="R54" s="12" t="s">
        <v>471</v>
      </c>
      <c r="S54" s="12"/>
      <c r="T54" s="12"/>
      <c r="U54" s="10">
        <v>1</v>
      </c>
      <c r="V54" s="12" t="s">
        <v>6</v>
      </c>
      <c r="W54" s="12" t="s">
        <v>55</v>
      </c>
      <c r="X54" s="15" t="s">
        <v>528</v>
      </c>
    </row>
    <row r="55" spans="2:24" ht="20.100000000000001" customHeight="1" x14ac:dyDescent="0.2">
      <c r="B55" s="13"/>
      <c r="C55" s="13"/>
      <c r="D55" s="38">
        <v>44845</v>
      </c>
      <c r="E55" s="13"/>
      <c r="F55" s="13"/>
      <c r="G55" s="13"/>
      <c r="H55" s="12" t="s">
        <v>605</v>
      </c>
      <c r="I55" s="12" t="s">
        <v>662</v>
      </c>
      <c r="J55" s="13"/>
      <c r="K55" s="3" t="s">
        <v>624</v>
      </c>
      <c r="L55" s="15" t="s">
        <v>664</v>
      </c>
      <c r="M55" s="15" t="s">
        <v>667</v>
      </c>
      <c r="N55" s="12" t="s">
        <v>46</v>
      </c>
      <c r="O55" s="13">
        <v>0</v>
      </c>
      <c r="P55" s="13"/>
      <c r="Q55" s="14" t="s">
        <v>1259</v>
      </c>
      <c r="R55" s="12" t="s">
        <v>472</v>
      </c>
      <c r="S55" s="12"/>
      <c r="T55" s="12"/>
      <c r="U55" s="10">
        <v>1</v>
      </c>
      <c r="V55" s="12" t="s">
        <v>6</v>
      </c>
      <c r="W55" s="12" t="s">
        <v>55</v>
      </c>
      <c r="X55" s="15" t="s">
        <v>528</v>
      </c>
    </row>
    <row r="56" spans="2:24" ht="20.100000000000001" customHeight="1" x14ac:dyDescent="0.2">
      <c r="B56" s="13"/>
      <c r="C56" s="13"/>
      <c r="D56" s="38">
        <v>44847</v>
      </c>
      <c r="E56" s="13"/>
      <c r="F56" s="13"/>
      <c r="G56" s="13"/>
      <c r="H56" s="12" t="s">
        <v>605</v>
      </c>
      <c r="I56" s="12" t="s">
        <v>23</v>
      </c>
      <c r="J56" s="13"/>
      <c r="K56" s="3" t="s">
        <v>624</v>
      </c>
      <c r="L56" s="15" t="s">
        <v>607</v>
      </c>
      <c r="M56" s="15" t="s">
        <v>668</v>
      </c>
      <c r="N56" s="12" t="s">
        <v>46</v>
      </c>
      <c r="O56" s="13">
        <v>0</v>
      </c>
      <c r="P56" s="13"/>
      <c r="Q56" s="14" t="s">
        <v>198</v>
      </c>
      <c r="R56" s="12" t="s">
        <v>46</v>
      </c>
      <c r="S56" s="12"/>
      <c r="T56" s="12"/>
      <c r="U56" s="10">
        <v>1</v>
      </c>
      <c r="V56" s="12" t="s">
        <v>180</v>
      </c>
      <c r="W56" s="12" t="s">
        <v>55</v>
      </c>
      <c r="X56" s="15" t="s">
        <v>529</v>
      </c>
    </row>
    <row r="57" spans="2:24" ht="20.100000000000001" customHeight="1" x14ac:dyDescent="0.2">
      <c r="B57" s="13"/>
      <c r="C57" s="13"/>
      <c r="D57" s="38">
        <v>44847</v>
      </c>
      <c r="E57" s="13"/>
      <c r="F57" s="13"/>
      <c r="G57" s="13"/>
      <c r="H57" s="12" t="s">
        <v>605</v>
      </c>
      <c r="I57" s="12" t="s">
        <v>669</v>
      </c>
      <c r="J57" s="13"/>
      <c r="K57" s="3" t="s">
        <v>604</v>
      </c>
      <c r="L57" s="15" t="s">
        <v>607</v>
      </c>
      <c r="M57" s="15" t="s">
        <v>670</v>
      </c>
      <c r="N57" s="12" t="s">
        <v>46</v>
      </c>
      <c r="O57" s="13">
        <v>0</v>
      </c>
      <c r="P57" s="13"/>
      <c r="Q57" s="14" t="s">
        <v>184</v>
      </c>
      <c r="R57" s="12" t="s">
        <v>183</v>
      </c>
      <c r="S57" s="12"/>
      <c r="T57" s="12"/>
      <c r="U57" s="10">
        <v>4</v>
      </c>
      <c r="V57" s="12" t="s">
        <v>186</v>
      </c>
      <c r="W57" s="12" t="s">
        <v>55</v>
      </c>
      <c r="X57" s="15" t="s">
        <v>530</v>
      </c>
    </row>
    <row r="58" spans="2:24" ht="20.100000000000001" customHeight="1" x14ac:dyDescent="0.2">
      <c r="B58" s="13"/>
      <c r="C58" s="13"/>
      <c r="D58" s="38">
        <v>44847</v>
      </c>
      <c r="E58" s="13"/>
      <c r="F58" s="13"/>
      <c r="G58" s="13"/>
      <c r="H58" s="12" t="s">
        <v>605</v>
      </c>
      <c r="I58" s="12" t="s">
        <v>669</v>
      </c>
      <c r="J58" s="13"/>
      <c r="K58" s="3" t="s">
        <v>604</v>
      </c>
      <c r="L58" s="15" t="s">
        <v>607</v>
      </c>
      <c r="M58" s="15" t="s">
        <v>671</v>
      </c>
      <c r="N58" s="12" t="s">
        <v>46</v>
      </c>
      <c r="O58" s="13">
        <v>0</v>
      </c>
      <c r="P58" s="13"/>
      <c r="Q58" s="14" t="s">
        <v>870</v>
      </c>
      <c r="R58" s="12">
        <v>200100020008</v>
      </c>
      <c r="S58" s="12"/>
      <c r="T58" s="12"/>
      <c r="U58" s="10">
        <v>1</v>
      </c>
      <c r="V58" s="12" t="s">
        <v>6</v>
      </c>
      <c r="W58" s="12" t="s">
        <v>55</v>
      </c>
      <c r="X58" s="15" t="s">
        <v>531</v>
      </c>
    </row>
    <row r="59" spans="2:24" ht="20.100000000000001" customHeight="1" x14ac:dyDescent="0.2">
      <c r="B59" s="13"/>
      <c r="C59" s="13"/>
      <c r="D59" s="38">
        <v>44847</v>
      </c>
      <c r="E59" s="13"/>
      <c r="F59" s="13"/>
      <c r="G59" s="13"/>
      <c r="H59" s="12" t="s">
        <v>605</v>
      </c>
      <c r="I59" s="12" t="s">
        <v>669</v>
      </c>
      <c r="J59" s="13"/>
      <c r="K59" s="3" t="s">
        <v>604</v>
      </c>
      <c r="L59" s="15" t="s">
        <v>607</v>
      </c>
      <c r="M59" s="15" t="s">
        <v>672</v>
      </c>
      <c r="N59" s="12" t="s">
        <v>46</v>
      </c>
      <c r="O59" s="13">
        <v>0</v>
      </c>
      <c r="P59" s="13"/>
      <c r="Q59" s="14" t="s">
        <v>869</v>
      </c>
      <c r="R59" s="12" t="s">
        <v>46</v>
      </c>
      <c r="S59" s="12"/>
      <c r="T59" s="12"/>
      <c r="U59" s="10">
        <v>1</v>
      </c>
      <c r="V59" s="12" t="s">
        <v>6</v>
      </c>
      <c r="W59" s="12" t="s">
        <v>55</v>
      </c>
      <c r="X59" s="15" t="s">
        <v>531</v>
      </c>
    </row>
    <row r="60" spans="2:24" ht="20.100000000000001" customHeight="1" x14ac:dyDescent="0.2">
      <c r="B60" s="13"/>
      <c r="C60" s="13"/>
      <c r="D60" s="38">
        <v>44847</v>
      </c>
      <c r="E60" s="13"/>
      <c r="F60" s="13"/>
      <c r="G60" s="13"/>
      <c r="H60" s="12" t="s">
        <v>605</v>
      </c>
      <c r="I60" s="12" t="s">
        <v>669</v>
      </c>
      <c r="J60" s="13"/>
      <c r="K60" s="3" t="s">
        <v>604</v>
      </c>
      <c r="L60" s="15" t="s">
        <v>607</v>
      </c>
      <c r="M60" s="15" t="s">
        <v>673</v>
      </c>
      <c r="N60" s="12" t="s">
        <v>46</v>
      </c>
      <c r="O60" s="13">
        <v>0</v>
      </c>
      <c r="P60" s="13"/>
      <c r="Q60" s="14" t="s">
        <v>868</v>
      </c>
      <c r="R60" s="12" t="s">
        <v>46</v>
      </c>
      <c r="S60" s="12"/>
      <c r="T60" s="12"/>
      <c r="U60" s="10">
        <v>1</v>
      </c>
      <c r="V60" s="12" t="s">
        <v>6</v>
      </c>
      <c r="W60" s="12" t="s">
        <v>55</v>
      </c>
      <c r="X60" s="15" t="s">
        <v>531</v>
      </c>
    </row>
    <row r="61" spans="2:24" ht="20.100000000000001" customHeight="1" x14ac:dyDescent="0.2">
      <c r="B61" s="13"/>
      <c r="C61" s="13"/>
      <c r="D61" s="38">
        <v>44848</v>
      </c>
      <c r="E61" s="13"/>
      <c r="F61" s="13"/>
      <c r="G61" s="13"/>
      <c r="H61" s="12" t="s">
        <v>605</v>
      </c>
      <c r="I61" s="12" t="s">
        <v>656</v>
      </c>
      <c r="J61" s="13"/>
      <c r="K61" s="3" t="s">
        <v>624</v>
      </c>
      <c r="L61" s="15" t="s">
        <v>657</v>
      </c>
      <c r="M61" s="15" t="s">
        <v>674</v>
      </c>
      <c r="N61" s="12" t="s">
        <v>46</v>
      </c>
      <c r="O61" s="13">
        <v>0</v>
      </c>
      <c r="P61" s="13"/>
      <c r="Q61" s="14" t="s">
        <v>427</v>
      </c>
      <c r="R61" s="12" t="s">
        <v>473</v>
      </c>
      <c r="S61" s="12"/>
      <c r="T61" s="12"/>
      <c r="U61" s="10">
        <v>1</v>
      </c>
      <c r="V61" s="12" t="s">
        <v>6</v>
      </c>
      <c r="W61" s="12" t="s">
        <v>55</v>
      </c>
      <c r="X61" s="15" t="s">
        <v>532</v>
      </c>
    </row>
    <row r="62" spans="2:24" ht="20.100000000000001" customHeight="1" x14ac:dyDescent="0.2">
      <c r="B62" s="13"/>
      <c r="C62" s="13"/>
      <c r="D62" s="38">
        <v>44852</v>
      </c>
      <c r="E62" s="13"/>
      <c r="F62" s="13"/>
      <c r="G62" s="13"/>
      <c r="H62" s="12" t="s">
        <v>605</v>
      </c>
      <c r="I62" s="12" t="s">
        <v>23</v>
      </c>
      <c r="J62" s="13"/>
      <c r="K62" s="3" t="s">
        <v>624</v>
      </c>
      <c r="L62" s="15" t="s">
        <v>675</v>
      </c>
      <c r="M62" s="15" t="s">
        <v>676</v>
      </c>
      <c r="N62" s="12" t="s">
        <v>46</v>
      </c>
      <c r="O62" s="13">
        <v>0</v>
      </c>
      <c r="P62" s="13"/>
      <c r="Q62" s="14" t="s">
        <v>428</v>
      </c>
      <c r="R62" s="12" t="s">
        <v>474</v>
      </c>
      <c r="S62" s="12"/>
      <c r="T62" s="12"/>
      <c r="U62" s="10">
        <v>1</v>
      </c>
      <c r="V62" s="12" t="s">
        <v>6</v>
      </c>
      <c r="W62" s="12" t="s">
        <v>55</v>
      </c>
      <c r="X62" s="15" t="s">
        <v>533</v>
      </c>
    </row>
    <row r="63" spans="2:24" ht="20.100000000000001" customHeight="1" x14ac:dyDescent="0.2">
      <c r="B63" s="13"/>
      <c r="C63" s="13"/>
      <c r="D63" s="38">
        <v>44854</v>
      </c>
      <c r="E63" s="13"/>
      <c r="F63" s="13"/>
      <c r="G63" s="13"/>
      <c r="H63" s="12" t="s">
        <v>605</v>
      </c>
      <c r="I63" s="12" t="s">
        <v>608</v>
      </c>
      <c r="J63" s="13"/>
      <c r="K63" s="28" t="s">
        <v>601</v>
      </c>
      <c r="L63" s="15" t="s">
        <v>677</v>
      </c>
      <c r="M63" s="15" t="s">
        <v>678</v>
      </c>
      <c r="N63" s="12" t="s">
        <v>46</v>
      </c>
      <c r="O63" s="13">
        <v>0</v>
      </c>
      <c r="P63" s="13"/>
      <c r="Q63" s="14" t="s">
        <v>429</v>
      </c>
      <c r="R63" s="12" t="s">
        <v>46</v>
      </c>
      <c r="S63" s="12" t="s">
        <v>494</v>
      </c>
      <c r="T63" s="12">
        <v>11150013</v>
      </c>
      <c r="U63" s="10">
        <v>1</v>
      </c>
      <c r="V63" s="12" t="s">
        <v>11</v>
      </c>
      <c r="W63" s="12" t="s">
        <v>232</v>
      </c>
      <c r="X63" s="15" t="s">
        <v>534</v>
      </c>
    </row>
    <row r="64" spans="2:24" ht="20.100000000000001" customHeight="1" x14ac:dyDescent="0.2">
      <c r="B64" s="13"/>
      <c r="C64" s="13"/>
      <c r="D64" s="38">
        <v>44855</v>
      </c>
      <c r="E64" s="13"/>
      <c r="F64" s="13"/>
      <c r="G64" s="13"/>
      <c r="H64" s="12" t="s">
        <v>605</v>
      </c>
      <c r="I64" s="12" t="s">
        <v>608</v>
      </c>
      <c r="J64" s="13"/>
      <c r="K64" s="3" t="s">
        <v>604</v>
      </c>
      <c r="L64" s="15" t="s">
        <v>607</v>
      </c>
      <c r="M64" s="15" t="s">
        <v>679</v>
      </c>
      <c r="N64" s="12" t="s">
        <v>46</v>
      </c>
      <c r="O64" s="13">
        <v>0</v>
      </c>
      <c r="P64" s="13"/>
      <c r="Q64" s="14" t="s">
        <v>1256</v>
      </c>
      <c r="R64" s="12" t="s">
        <v>475</v>
      </c>
      <c r="S64" s="12"/>
      <c r="T64" s="12"/>
      <c r="U64" s="10">
        <v>3</v>
      </c>
      <c r="V64" s="12" t="s">
        <v>6</v>
      </c>
      <c r="W64" s="12" t="s">
        <v>55</v>
      </c>
      <c r="X64" s="15" t="s">
        <v>535</v>
      </c>
    </row>
    <row r="65" spans="2:24" ht="20.100000000000001" customHeight="1" x14ac:dyDescent="0.2">
      <c r="B65" s="13"/>
      <c r="C65" s="13"/>
      <c r="D65" s="38">
        <v>44858</v>
      </c>
      <c r="E65" s="13"/>
      <c r="F65" s="13"/>
      <c r="G65" s="13"/>
      <c r="H65" s="12" t="s">
        <v>605</v>
      </c>
      <c r="I65" s="12" t="s">
        <v>608</v>
      </c>
      <c r="J65" s="13"/>
      <c r="K65" s="28" t="s">
        <v>601</v>
      </c>
      <c r="L65" s="15" t="s">
        <v>677</v>
      </c>
      <c r="M65" s="15" t="s">
        <v>678</v>
      </c>
      <c r="N65" s="12" t="s">
        <v>46</v>
      </c>
      <c r="O65" s="13">
        <v>0</v>
      </c>
      <c r="P65" s="13"/>
      <c r="Q65" s="14" t="s">
        <v>429</v>
      </c>
      <c r="R65" s="12" t="s">
        <v>46</v>
      </c>
      <c r="S65" s="12" t="s">
        <v>494</v>
      </c>
      <c r="T65" s="12">
        <v>11150013</v>
      </c>
      <c r="U65" s="10">
        <v>1</v>
      </c>
      <c r="V65" s="12" t="s">
        <v>11</v>
      </c>
      <c r="W65" s="12" t="s">
        <v>232</v>
      </c>
      <c r="X65" s="15" t="s">
        <v>534</v>
      </c>
    </row>
    <row r="66" spans="2:24" ht="20.100000000000001" customHeight="1" x14ac:dyDescent="0.2">
      <c r="B66" s="13"/>
      <c r="C66" s="13"/>
      <c r="D66" s="38">
        <v>44860</v>
      </c>
      <c r="E66" s="13"/>
      <c r="F66" s="13"/>
      <c r="G66" s="13"/>
      <c r="H66" s="12" t="s">
        <v>605</v>
      </c>
      <c r="I66" s="12" t="s">
        <v>669</v>
      </c>
      <c r="J66" s="13"/>
      <c r="K66" s="3" t="s">
        <v>613</v>
      </c>
      <c r="L66" s="15" t="s">
        <v>680</v>
      </c>
      <c r="M66" s="15" t="s">
        <v>681</v>
      </c>
      <c r="N66" s="12" t="s">
        <v>46</v>
      </c>
      <c r="O66" s="13">
        <v>0</v>
      </c>
      <c r="P66" s="13"/>
      <c r="Q66" s="14" t="s">
        <v>430</v>
      </c>
      <c r="R66" s="12" t="s">
        <v>46</v>
      </c>
      <c r="S66" s="12"/>
      <c r="T66" s="12" t="s">
        <v>503</v>
      </c>
      <c r="U66" s="10">
        <v>1</v>
      </c>
      <c r="V66" s="12" t="s">
        <v>6</v>
      </c>
      <c r="W66" s="12" t="s">
        <v>232</v>
      </c>
      <c r="X66" s="15" t="s">
        <v>536</v>
      </c>
    </row>
    <row r="67" spans="2:24" ht="20.100000000000001" customHeight="1" x14ac:dyDescent="0.2">
      <c r="B67" s="13"/>
      <c r="C67" s="13"/>
      <c r="D67" s="38">
        <v>44860</v>
      </c>
      <c r="E67" s="13"/>
      <c r="F67" s="13"/>
      <c r="G67" s="13"/>
      <c r="H67" s="12" t="s">
        <v>682</v>
      </c>
      <c r="I67" s="12" t="s">
        <v>682</v>
      </c>
      <c r="J67" s="13"/>
      <c r="K67" s="3" t="s">
        <v>46</v>
      </c>
      <c r="L67" s="15" t="s">
        <v>683</v>
      </c>
      <c r="M67" s="15" t="s">
        <v>684</v>
      </c>
      <c r="N67" s="12" t="s">
        <v>46</v>
      </c>
      <c r="O67" s="13">
        <v>0</v>
      </c>
      <c r="P67" s="13"/>
      <c r="Q67" s="14" t="s">
        <v>184</v>
      </c>
      <c r="R67" s="17" t="s">
        <v>46</v>
      </c>
      <c r="S67" s="12"/>
      <c r="T67" s="12"/>
      <c r="U67" s="10">
        <v>2</v>
      </c>
      <c r="V67" s="12" t="s">
        <v>6</v>
      </c>
      <c r="W67" s="12" t="s">
        <v>232</v>
      </c>
      <c r="X67" s="15" t="s">
        <v>537</v>
      </c>
    </row>
    <row r="68" spans="2:24" ht="20.100000000000001" customHeight="1" x14ac:dyDescent="0.2">
      <c r="B68" s="13"/>
      <c r="C68" s="13"/>
      <c r="D68" s="38">
        <v>44860</v>
      </c>
      <c r="E68" s="13"/>
      <c r="F68" s="13"/>
      <c r="G68" s="13"/>
      <c r="H68" s="12" t="s">
        <v>605</v>
      </c>
      <c r="I68" s="12" t="s">
        <v>23</v>
      </c>
      <c r="J68" s="13"/>
      <c r="K68" s="28" t="s">
        <v>601</v>
      </c>
      <c r="L68" s="15" t="s">
        <v>607</v>
      </c>
      <c r="M68" s="15" t="s">
        <v>685</v>
      </c>
      <c r="N68" s="12" t="s">
        <v>46</v>
      </c>
      <c r="O68" s="13">
        <v>0</v>
      </c>
      <c r="P68" s="13"/>
      <c r="Q68" s="14" t="s">
        <v>431</v>
      </c>
      <c r="R68" s="16" t="s">
        <v>108</v>
      </c>
      <c r="S68" s="12" t="s">
        <v>300</v>
      </c>
      <c r="T68" s="12"/>
      <c r="U68" s="10">
        <v>1</v>
      </c>
      <c r="V68" s="12" t="s">
        <v>6</v>
      </c>
      <c r="W68" s="12" t="s">
        <v>55</v>
      </c>
      <c r="X68" s="15" t="s">
        <v>538</v>
      </c>
    </row>
    <row r="69" spans="2:24" ht="20.100000000000001" customHeight="1" x14ac:dyDescent="0.2">
      <c r="B69" s="13"/>
      <c r="C69" s="13"/>
      <c r="D69" s="38">
        <v>44860</v>
      </c>
      <c r="E69" s="13"/>
      <c r="F69" s="13"/>
      <c r="G69" s="13"/>
      <c r="H69" s="12" t="s">
        <v>605</v>
      </c>
      <c r="I69" s="12" t="s">
        <v>23</v>
      </c>
      <c r="J69" s="13"/>
      <c r="K69" s="28" t="s">
        <v>601</v>
      </c>
      <c r="L69" s="15" t="s">
        <v>607</v>
      </c>
      <c r="M69" s="15" t="s">
        <v>686</v>
      </c>
      <c r="N69" s="12" t="s">
        <v>46</v>
      </c>
      <c r="O69" s="13">
        <v>0</v>
      </c>
      <c r="P69" s="13"/>
      <c r="Q69" s="14" t="s">
        <v>432</v>
      </c>
      <c r="R69" s="12" t="s">
        <v>476</v>
      </c>
      <c r="S69" s="12"/>
      <c r="T69" s="12"/>
      <c r="U69" s="10">
        <v>4</v>
      </c>
      <c r="V69" s="12" t="s">
        <v>6</v>
      </c>
      <c r="W69" s="12" t="s">
        <v>55</v>
      </c>
      <c r="X69" s="15" t="s">
        <v>539</v>
      </c>
    </row>
    <row r="70" spans="2:24" ht="20.100000000000001" customHeight="1" x14ac:dyDescent="0.2">
      <c r="B70" s="13"/>
      <c r="C70" s="13"/>
      <c r="D70" s="38">
        <v>44861</v>
      </c>
      <c r="E70" s="13"/>
      <c r="F70" s="13"/>
      <c r="G70" s="13"/>
      <c r="H70" s="12" t="s">
        <v>605</v>
      </c>
      <c r="I70" s="12" t="s">
        <v>608</v>
      </c>
      <c r="J70" s="13"/>
      <c r="K70" s="3" t="s">
        <v>613</v>
      </c>
      <c r="L70" s="15" t="s">
        <v>659</v>
      </c>
      <c r="M70" s="15" t="s">
        <v>687</v>
      </c>
      <c r="N70" s="12" t="s">
        <v>46</v>
      </c>
      <c r="O70" s="13">
        <v>0</v>
      </c>
      <c r="P70" s="13"/>
      <c r="Q70" s="14" t="s">
        <v>231</v>
      </c>
      <c r="R70" s="12" t="s">
        <v>46</v>
      </c>
      <c r="S70" s="12"/>
      <c r="T70" s="12"/>
      <c r="U70" s="10">
        <v>60</v>
      </c>
      <c r="V70" s="12" t="s">
        <v>186</v>
      </c>
      <c r="W70" s="12" t="s">
        <v>232</v>
      </c>
      <c r="X70" s="15" t="s">
        <v>540</v>
      </c>
    </row>
    <row r="71" spans="2:24" ht="20.100000000000001" customHeight="1" x14ac:dyDescent="0.2">
      <c r="B71" s="13"/>
      <c r="C71" s="13"/>
      <c r="D71" s="38">
        <v>44862</v>
      </c>
      <c r="E71" s="13"/>
      <c r="F71" s="13"/>
      <c r="G71" s="13"/>
      <c r="H71" s="12" t="s">
        <v>688</v>
      </c>
      <c r="I71" s="12" t="s">
        <v>688</v>
      </c>
      <c r="J71" s="13"/>
      <c r="K71" s="3" t="s">
        <v>46</v>
      </c>
      <c r="L71" s="15" t="s">
        <v>683</v>
      </c>
      <c r="M71" s="15" t="s">
        <v>689</v>
      </c>
      <c r="N71" s="12" t="s">
        <v>46</v>
      </c>
      <c r="O71" s="13">
        <v>0</v>
      </c>
      <c r="P71" s="13"/>
      <c r="Q71" s="14" t="s">
        <v>433</v>
      </c>
      <c r="R71" s="12" t="s">
        <v>46</v>
      </c>
      <c r="S71" s="12" t="s">
        <v>495</v>
      </c>
      <c r="T71" s="12"/>
      <c r="U71" s="10">
        <v>6</v>
      </c>
      <c r="V71" s="12" t="s">
        <v>6</v>
      </c>
      <c r="W71" s="12" t="s">
        <v>232</v>
      </c>
      <c r="X71" s="15" t="s">
        <v>541</v>
      </c>
    </row>
    <row r="72" spans="2:24" ht="20.100000000000001" customHeight="1" x14ac:dyDescent="0.2">
      <c r="B72" s="13"/>
      <c r="C72" s="13"/>
      <c r="D72" s="38">
        <v>44867</v>
      </c>
      <c r="E72" s="13"/>
      <c r="F72" s="13"/>
      <c r="G72" s="13"/>
      <c r="H72" s="12" t="s">
        <v>605</v>
      </c>
      <c r="I72" s="12" t="s">
        <v>608</v>
      </c>
      <c r="J72" s="13"/>
      <c r="K72" s="3" t="s">
        <v>604</v>
      </c>
      <c r="L72" s="15" t="s">
        <v>607</v>
      </c>
      <c r="M72" s="15" t="s">
        <v>690</v>
      </c>
      <c r="N72" s="12" t="s">
        <v>46</v>
      </c>
      <c r="O72" s="13">
        <v>0</v>
      </c>
      <c r="P72" s="13"/>
      <c r="Q72" s="14" t="s">
        <v>190</v>
      </c>
      <c r="R72" s="12" t="s">
        <v>189</v>
      </c>
      <c r="S72" s="12"/>
      <c r="T72" s="12"/>
      <c r="U72" s="10">
        <v>412.5</v>
      </c>
      <c r="V72" s="12" t="s">
        <v>186</v>
      </c>
      <c r="W72" s="12" t="s">
        <v>55</v>
      </c>
      <c r="X72" s="15" t="s">
        <v>542</v>
      </c>
    </row>
    <row r="73" spans="2:24" ht="20.100000000000001" customHeight="1" x14ac:dyDescent="0.2">
      <c r="B73" s="13"/>
      <c r="C73" s="13"/>
      <c r="D73" s="38">
        <v>44867</v>
      </c>
      <c r="E73" s="13"/>
      <c r="F73" s="13"/>
      <c r="G73" s="13"/>
      <c r="H73" s="12" t="s">
        <v>605</v>
      </c>
      <c r="I73" s="12" t="s">
        <v>634</v>
      </c>
      <c r="J73" s="13"/>
      <c r="K73" s="3" t="s">
        <v>624</v>
      </c>
      <c r="L73" s="15" t="s">
        <v>691</v>
      </c>
      <c r="M73" s="15" t="s">
        <v>692</v>
      </c>
      <c r="N73" s="12" t="s">
        <v>46</v>
      </c>
      <c r="O73" s="13">
        <v>0</v>
      </c>
      <c r="P73" s="13"/>
      <c r="Q73" s="14" t="s">
        <v>434</v>
      </c>
      <c r="R73" s="12" t="s">
        <v>46</v>
      </c>
      <c r="S73" s="12"/>
      <c r="T73" s="12"/>
      <c r="U73" s="10">
        <v>1</v>
      </c>
      <c r="V73" s="12" t="s">
        <v>6</v>
      </c>
      <c r="W73" s="12" t="s">
        <v>55</v>
      </c>
      <c r="X73" s="15" t="s">
        <v>543</v>
      </c>
    </row>
    <row r="74" spans="2:24" ht="20.100000000000001" customHeight="1" x14ac:dyDescent="0.2">
      <c r="B74" s="13"/>
      <c r="C74" s="13"/>
      <c r="D74" s="38">
        <v>44867</v>
      </c>
      <c r="E74" s="13"/>
      <c r="F74" s="13"/>
      <c r="G74" s="13"/>
      <c r="H74" s="12" t="s">
        <v>605</v>
      </c>
      <c r="I74" s="12" t="s">
        <v>634</v>
      </c>
      <c r="J74" s="13"/>
      <c r="K74" s="3" t="s">
        <v>624</v>
      </c>
      <c r="L74" s="15" t="s">
        <v>691</v>
      </c>
      <c r="M74" s="15" t="s">
        <v>692</v>
      </c>
      <c r="N74" s="12" t="s">
        <v>46</v>
      </c>
      <c r="O74" s="13">
        <v>0</v>
      </c>
      <c r="P74" s="13"/>
      <c r="Q74" s="14" t="s">
        <v>435</v>
      </c>
      <c r="R74" s="12" t="s">
        <v>477</v>
      </c>
      <c r="S74" s="12"/>
      <c r="T74" s="12"/>
      <c r="U74" s="10">
        <v>25</v>
      </c>
      <c r="V74" s="12" t="s">
        <v>6</v>
      </c>
      <c r="W74" s="12" t="s">
        <v>55</v>
      </c>
      <c r="X74" s="15" t="s">
        <v>543</v>
      </c>
    </row>
    <row r="75" spans="2:24" ht="20.100000000000001" customHeight="1" x14ac:dyDescent="0.2">
      <c r="B75" s="13"/>
      <c r="C75" s="13"/>
      <c r="D75" s="38">
        <v>44867</v>
      </c>
      <c r="E75" s="13"/>
      <c r="F75" s="13"/>
      <c r="G75" s="13"/>
      <c r="H75" s="12" t="s">
        <v>605</v>
      </c>
      <c r="I75" s="12" t="s">
        <v>634</v>
      </c>
      <c r="J75" s="13"/>
      <c r="K75" s="3" t="s">
        <v>624</v>
      </c>
      <c r="L75" s="15" t="s">
        <v>691</v>
      </c>
      <c r="M75" s="15" t="s">
        <v>692</v>
      </c>
      <c r="N75" s="12" t="s">
        <v>46</v>
      </c>
      <c r="O75" s="13">
        <v>0</v>
      </c>
      <c r="P75" s="13"/>
      <c r="Q75" s="14" t="s">
        <v>151</v>
      </c>
      <c r="R75" s="12" t="s">
        <v>46</v>
      </c>
      <c r="S75" s="12"/>
      <c r="T75" s="12"/>
      <c r="U75" s="10">
        <v>1</v>
      </c>
      <c r="V75" s="12" t="s">
        <v>6</v>
      </c>
      <c r="W75" s="12" t="s">
        <v>55</v>
      </c>
      <c r="X75" s="15" t="s">
        <v>544</v>
      </c>
    </row>
    <row r="76" spans="2:24" ht="20.100000000000001" customHeight="1" x14ac:dyDescent="0.2">
      <c r="B76" s="13"/>
      <c r="C76" s="13"/>
      <c r="D76" s="38">
        <v>44867</v>
      </c>
      <c r="E76" s="13"/>
      <c r="F76" s="13"/>
      <c r="G76" s="13"/>
      <c r="H76" s="12" t="s">
        <v>605</v>
      </c>
      <c r="I76" s="12" t="s">
        <v>608</v>
      </c>
      <c r="J76" s="13"/>
      <c r="K76" s="3" t="s">
        <v>624</v>
      </c>
      <c r="L76" s="15" t="s">
        <v>693</v>
      </c>
      <c r="M76" s="15" t="s">
        <v>694</v>
      </c>
      <c r="N76" s="12" t="s">
        <v>46</v>
      </c>
      <c r="O76" s="13">
        <v>0</v>
      </c>
      <c r="P76" s="13"/>
      <c r="Q76" s="14" t="s">
        <v>436</v>
      </c>
      <c r="R76" s="12" t="s">
        <v>478</v>
      </c>
      <c r="S76" s="12"/>
      <c r="T76" s="12"/>
      <c r="U76" s="10">
        <v>1</v>
      </c>
      <c r="V76" s="12" t="s">
        <v>490</v>
      </c>
      <c r="W76" s="12" t="s">
        <v>55</v>
      </c>
      <c r="X76" s="15" t="s">
        <v>545</v>
      </c>
    </row>
    <row r="77" spans="2:24" ht="20.100000000000001" customHeight="1" x14ac:dyDescent="0.2">
      <c r="B77" s="13"/>
      <c r="C77" s="13"/>
      <c r="D77" s="38">
        <v>44867</v>
      </c>
      <c r="E77" s="13"/>
      <c r="F77" s="13"/>
      <c r="G77" s="13"/>
      <c r="H77" s="12" t="s">
        <v>605</v>
      </c>
      <c r="I77" s="12" t="s">
        <v>608</v>
      </c>
      <c r="J77" s="13"/>
      <c r="K77" s="3" t="s">
        <v>624</v>
      </c>
      <c r="L77" s="15" t="s">
        <v>695</v>
      </c>
      <c r="M77" s="15" t="s">
        <v>694</v>
      </c>
      <c r="N77" s="12" t="s">
        <v>46</v>
      </c>
      <c r="O77" s="13">
        <v>0</v>
      </c>
      <c r="P77" s="13"/>
      <c r="Q77" s="14" t="s">
        <v>437</v>
      </c>
      <c r="R77" s="12" t="s">
        <v>479</v>
      </c>
      <c r="S77" s="12"/>
      <c r="T77" s="12"/>
      <c r="U77" s="10">
        <v>1</v>
      </c>
      <c r="V77" s="12" t="s">
        <v>6</v>
      </c>
      <c r="W77" s="12" t="s">
        <v>55</v>
      </c>
      <c r="X77" s="15" t="s">
        <v>545</v>
      </c>
    </row>
    <row r="78" spans="2:24" ht="20.100000000000001" customHeight="1" x14ac:dyDescent="0.2">
      <c r="B78" s="13"/>
      <c r="C78" s="13"/>
      <c r="D78" s="38">
        <v>44868</v>
      </c>
      <c r="E78" s="13"/>
      <c r="F78" s="13"/>
      <c r="G78" s="13"/>
      <c r="H78" s="12" t="s">
        <v>605</v>
      </c>
      <c r="I78" s="12" t="s">
        <v>606</v>
      </c>
      <c r="J78" s="13"/>
      <c r="K78" s="3" t="s">
        <v>624</v>
      </c>
      <c r="L78" s="15" t="s">
        <v>696</v>
      </c>
      <c r="M78" s="15" t="s">
        <v>697</v>
      </c>
      <c r="N78" s="12" t="s">
        <v>46</v>
      </c>
      <c r="O78" s="13">
        <v>0</v>
      </c>
      <c r="P78" s="13"/>
      <c r="Q78" s="14" t="s">
        <v>315</v>
      </c>
      <c r="R78" s="12" t="s">
        <v>46</v>
      </c>
      <c r="S78" s="12" t="s">
        <v>316</v>
      </c>
      <c r="T78" s="12"/>
      <c r="U78" s="10">
        <v>3</v>
      </c>
      <c r="V78" s="12" t="s">
        <v>6</v>
      </c>
      <c r="W78" s="12" t="s">
        <v>55</v>
      </c>
      <c r="X78" s="15" t="s">
        <v>546</v>
      </c>
    </row>
    <row r="79" spans="2:24" ht="20.100000000000001" customHeight="1" x14ac:dyDescent="0.2">
      <c r="B79" s="13"/>
      <c r="C79" s="13"/>
      <c r="D79" s="38">
        <v>44868</v>
      </c>
      <c r="E79" s="13"/>
      <c r="F79" s="13"/>
      <c r="G79" s="13"/>
      <c r="H79" s="12" t="s">
        <v>605</v>
      </c>
      <c r="I79" s="12" t="s">
        <v>23</v>
      </c>
      <c r="J79" s="13"/>
      <c r="K79" s="3" t="s">
        <v>46</v>
      </c>
      <c r="L79" s="15" t="s">
        <v>698</v>
      </c>
      <c r="M79" s="15" t="s">
        <v>699</v>
      </c>
      <c r="N79" s="12" t="s">
        <v>46</v>
      </c>
      <c r="O79" s="13">
        <v>0</v>
      </c>
      <c r="P79" s="13"/>
      <c r="Q79" s="14" t="s">
        <v>306</v>
      </c>
      <c r="R79" s="12" t="s">
        <v>46</v>
      </c>
      <c r="S79" s="12" t="s">
        <v>307</v>
      </c>
      <c r="T79" s="12"/>
      <c r="U79" s="10">
        <v>1</v>
      </c>
      <c r="V79" s="12" t="s">
        <v>6</v>
      </c>
      <c r="W79" s="12" t="s">
        <v>55</v>
      </c>
      <c r="X79" s="15" t="s">
        <v>547</v>
      </c>
    </row>
    <row r="80" spans="2:24" ht="20.100000000000001" customHeight="1" x14ac:dyDescent="0.2">
      <c r="B80" s="13"/>
      <c r="C80" s="13"/>
      <c r="D80" s="38">
        <v>44869</v>
      </c>
      <c r="E80" s="13"/>
      <c r="F80" s="13"/>
      <c r="G80" s="13"/>
      <c r="H80" s="12" t="s">
        <v>230</v>
      </c>
      <c r="I80" s="12" t="s">
        <v>230</v>
      </c>
      <c r="J80" s="13"/>
      <c r="K80" s="3" t="s">
        <v>46</v>
      </c>
      <c r="L80" s="15" t="s">
        <v>683</v>
      </c>
      <c r="M80" s="15" t="s">
        <v>684</v>
      </c>
      <c r="N80" s="12" t="s">
        <v>46</v>
      </c>
      <c r="O80" s="13">
        <v>0</v>
      </c>
      <c r="P80" s="13"/>
      <c r="Q80" s="14" t="s">
        <v>231</v>
      </c>
      <c r="R80" s="12" t="s">
        <v>46</v>
      </c>
      <c r="S80" s="12"/>
      <c r="T80" s="12"/>
      <c r="U80" s="10">
        <v>205</v>
      </c>
      <c r="V80" s="12" t="s">
        <v>186</v>
      </c>
      <c r="W80" s="12" t="s">
        <v>232</v>
      </c>
      <c r="X80" s="15" t="s">
        <v>548</v>
      </c>
    </row>
    <row r="81" spans="2:24" ht="20.100000000000001" customHeight="1" x14ac:dyDescent="0.2">
      <c r="B81" s="13"/>
      <c r="C81" s="13"/>
      <c r="D81" s="38">
        <v>44869</v>
      </c>
      <c r="E81" s="13"/>
      <c r="F81" s="13"/>
      <c r="G81" s="13"/>
      <c r="H81" s="12" t="s">
        <v>700</v>
      </c>
      <c r="I81" s="12" t="s">
        <v>700</v>
      </c>
      <c r="J81" s="13"/>
      <c r="K81" s="3" t="s">
        <v>46</v>
      </c>
      <c r="L81" s="15" t="s">
        <v>683</v>
      </c>
      <c r="M81" s="15" t="s">
        <v>684</v>
      </c>
      <c r="N81" s="12" t="s">
        <v>46</v>
      </c>
      <c r="O81" s="13">
        <v>0</v>
      </c>
      <c r="P81" s="13"/>
      <c r="Q81" s="14" t="s">
        <v>231</v>
      </c>
      <c r="R81" s="12" t="s">
        <v>46</v>
      </c>
      <c r="S81" s="12"/>
      <c r="T81" s="12"/>
      <c r="U81" s="10">
        <v>105</v>
      </c>
      <c r="V81" s="12" t="s">
        <v>186</v>
      </c>
      <c r="W81" s="12" t="s">
        <v>232</v>
      </c>
      <c r="X81" s="15" t="s">
        <v>549</v>
      </c>
    </row>
    <row r="82" spans="2:24" ht="20.100000000000001" customHeight="1" x14ac:dyDescent="0.2">
      <c r="B82" s="13"/>
      <c r="C82" s="13"/>
      <c r="D82" s="38">
        <v>44869</v>
      </c>
      <c r="E82" s="13"/>
      <c r="F82" s="13"/>
      <c r="G82" s="13"/>
      <c r="H82" s="12" t="s">
        <v>701</v>
      </c>
      <c r="I82" s="12" t="s">
        <v>701</v>
      </c>
      <c r="J82" s="13"/>
      <c r="K82" s="3" t="s">
        <v>46</v>
      </c>
      <c r="L82" s="15" t="s">
        <v>702</v>
      </c>
      <c r="M82" s="15" t="s">
        <v>684</v>
      </c>
      <c r="N82" s="12" t="s">
        <v>46</v>
      </c>
      <c r="O82" s="13">
        <v>0</v>
      </c>
      <c r="P82" s="13"/>
      <c r="Q82" s="14" t="s">
        <v>231</v>
      </c>
      <c r="R82" s="12" t="s">
        <v>46</v>
      </c>
      <c r="S82" s="12"/>
      <c r="T82" s="12"/>
      <c r="U82" s="10">
        <v>105</v>
      </c>
      <c r="V82" s="12" t="s">
        <v>186</v>
      </c>
      <c r="W82" s="12" t="s">
        <v>232</v>
      </c>
      <c r="X82" s="15" t="s">
        <v>550</v>
      </c>
    </row>
    <row r="83" spans="2:24" ht="20.100000000000001" customHeight="1" x14ac:dyDescent="0.2">
      <c r="B83" s="13"/>
      <c r="C83" s="13"/>
      <c r="D83" s="38">
        <v>44873</v>
      </c>
      <c r="E83" s="13"/>
      <c r="F83" s="13"/>
      <c r="G83" s="13"/>
      <c r="H83" s="12" t="s">
        <v>605</v>
      </c>
      <c r="I83" s="12" t="s">
        <v>23</v>
      </c>
      <c r="J83" s="13"/>
      <c r="K83" s="3" t="s">
        <v>46</v>
      </c>
      <c r="L83" s="15" t="s">
        <v>698</v>
      </c>
      <c r="M83" s="15" t="s">
        <v>699</v>
      </c>
      <c r="N83" s="12" t="s">
        <v>46</v>
      </c>
      <c r="O83" s="13">
        <v>0</v>
      </c>
      <c r="P83" s="13"/>
      <c r="Q83" s="14" t="s">
        <v>329</v>
      </c>
      <c r="R83" s="12" t="s">
        <v>46</v>
      </c>
      <c r="S83" s="12" t="s">
        <v>330</v>
      </c>
      <c r="T83" s="12"/>
      <c r="U83" s="10">
        <v>1</v>
      </c>
      <c r="V83" s="12" t="s">
        <v>6</v>
      </c>
      <c r="W83" s="12" t="s">
        <v>55</v>
      </c>
      <c r="X83" s="15" t="s">
        <v>551</v>
      </c>
    </row>
    <row r="84" spans="2:24" ht="20.100000000000001" customHeight="1" x14ac:dyDescent="0.2">
      <c r="B84" s="13"/>
      <c r="C84" s="13"/>
      <c r="D84" s="38">
        <v>44873</v>
      </c>
      <c r="E84" s="13"/>
      <c r="F84" s="13"/>
      <c r="G84" s="13"/>
      <c r="H84" s="12" t="s">
        <v>703</v>
      </c>
      <c r="I84" s="12" t="s">
        <v>703</v>
      </c>
      <c r="J84" s="13"/>
      <c r="K84" s="3" t="s">
        <v>46</v>
      </c>
      <c r="L84" s="15" t="s">
        <v>683</v>
      </c>
      <c r="M84" s="15" t="s">
        <v>684</v>
      </c>
      <c r="N84" s="12" t="s">
        <v>46</v>
      </c>
      <c r="O84" s="13">
        <v>0</v>
      </c>
      <c r="P84" s="13"/>
      <c r="Q84" s="14" t="s">
        <v>231</v>
      </c>
      <c r="R84" s="12" t="s">
        <v>46</v>
      </c>
      <c r="S84" s="12"/>
      <c r="T84" s="12"/>
      <c r="U84" s="10">
        <v>205</v>
      </c>
      <c r="V84" s="12" t="s">
        <v>186</v>
      </c>
      <c r="W84" s="12" t="s">
        <v>232</v>
      </c>
      <c r="X84" s="15" t="s">
        <v>552</v>
      </c>
    </row>
    <row r="85" spans="2:24" ht="20.100000000000001" customHeight="1" x14ac:dyDescent="0.2">
      <c r="B85" s="13"/>
      <c r="C85" s="13"/>
      <c r="D85" s="38">
        <v>44873</v>
      </c>
      <c r="E85" s="13"/>
      <c r="F85" s="13"/>
      <c r="G85" s="13"/>
      <c r="H85" s="12" t="s">
        <v>704</v>
      </c>
      <c r="I85" s="12" t="s">
        <v>704</v>
      </c>
      <c r="J85" s="13"/>
      <c r="K85" s="3" t="s">
        <v>46</v>
      </c>
      <c r="L85" s="15" t="s">
        <v>683</v>
      </c>
      <c r="M85" s="15" t="s">
        <v>684</v>
      </c>
      <c r="N85" s="12" t="s">
        <v>46</v>
      </c>
      <c r="O85" s="13">
        <v>0</v>
      </c>
      <c r="P85" s="13"/>
      <c r="Q85" s="14" t="s">
        <v>231</v>
      </c>
      <c r="R85" s="12" t="s">
        <v>46</v>
      </c>
      <c r="S85" s="12"/>
      <c r="T85" s="12"/>
      <c r="U85" s="10">
        <v>205</v>
      </c>
      <c r="V85" s="12" t="s">
        <v>186</v>
      </c>
      <c r="W85" s="12" t="s">
        <v>232</v>
      </c>
      <c r="X85" s="15" t="s">
        <v>553</v>
      </c>
    </row>
    <row r="86" spans="2:24" ht="20.100000000000001" customHeight="1" x14ac:dyDescent="0.2">
      <c r="B86" s="13"/>
      <c r="C86" s="13"/>
      <c r="D86" s="38">
        <v>44873</v>
      </c>
      <c r="E86" s="13"/>
      <c r="F86" s="13"/>
      <c r="G86" s="13"/>
      <c r="H86" s="12" t="s">
        <v>605</v>
      </c>
      <c r="I86" s="12" t="s">
        <v>606</v>
      </c>
      <c r="J86" s="13"/>
      <c r="K86" s="3" t="s">
        <v>624</v>
      </c>
      <c r="L86" s="15" t="s">
        <v>706</v>
      </c>
      <c r="M86" s="15" t="s">
        <v>707</v>
      </c>
      <c r="N86" s="12" t="s">
        <v>46</v>
      </c>
      <c r="O86" s="13">
        <v>0</v>
      </c>
      <c r="P86" s="13"/>
      <c r="Q86" s="14" t="s">
        <v>315</v>
      </c>
      <c r="R86" s="12" t="s">
        <v>46</v>
      </c>
      <c r="S86" s="12"/>
      <c r="T86" s="12"/>
      <c r="U86" s="10">
        <v>1</v>
      </c>
      <c r="V86" s="12" t="s">
        <v>6</v>
      </c>
      <c r="W86" s="12" t="s">
        <v>55</v>
      </c>
      <c r="X86" s="15" t="s">
        <v>705</v>
      </c>
    </row>
    <row r="87" spans="2:24" ht="20.100000000000001" customHeight="1" x14ac:dyDescent="0.2">
      <c r="B87" s="13"/>
      <c r="C87" s="13"/>
      <c r="D87" s="38">
        <v>44875</v>
      </c>
      <c r="E87" s="13"/>
      <c r="F87" s="13"/>
      <c r="G87" s="13"/>
      <c r="H87" s="12" t="s">
        <v>605</v>
      </c>
      <c r="I87" s="12" t="s">
        <v>608</v>
      </c>
      <c r="J87" s="13"/>
      <c r="K87" s="3" t="s">
        <v>613</v>
      </c>
      <c r="L87" s="15" t="s">
        <v>618</v>
      </c>
      <c r="M87" s="15" t="s">
        <v>709</v>
      </c>
      <c r="N87" s="12" t="s">
        <v>708</v>
      </c>
      <c r="O87" s="13">
        <v>0</v>
      </c>
      <c r="P87" s="13"/>
      <c r="Q87" s="14" t="s">
        <v>343</v>
      </c>
      <c r="R87" s="16" t="s">
        <v>46</v>
      </c>
      <c r="S87" s="12"/>
      <c r="T87" s="12"/>
      <c r="U87" s="10">
        <v>1</v>
      </c>
      <c r="V87" s="12" t="s">
        <v>6</v>
      </c>
      <c r="W87" s="12" t="s">
        <v>232</v>
      </c>
      <c r="X87" s="15" t="s">
        <v>554</v>
      </c>
    </row>
    <row r="88" spans="2:24" ht="20.100000000000001" customHeight="1" x14ac:dyDescent="0.2">
      <c r="B88" s="13"/>
      <c r="C88" s="13"/>
      <c r="D88" s="38">
        <v>44879</v>
      </c>
      <c r="E88" s="13"/>
      <c r="F88" s="13"/>
      <c r="G88" s="13"/>
      <c r="H88" s="12" t="s">
        <v>688</v>
      </c>
      <c r="I88" s="12" t="s">
        <v>688</v>
      </c>
      <c r="J88" s="13"/>
      <c r="K88" s="3" t="s">
        <v>46</v>
      </c>
      <c r="L88" s="15" t="s">
        <v>702</v>
      </c>
      <c r="M88" s="15" t="s">
        <v>684</v>
      </c>
      <c r="N88" s="12" t="s">
        <v>46</v>
      </c>
      <c r="O88" s="13">
        <v>0</v>
      </c>
      <c r="P88" s="13"/>
      <c r="Q88" s="14" t="s">
        <v>279</v>
      </c>
      <c r="R88" s="12" t="s">
        <v>46</v>
      </c>
      <c r="S88" s="12"/>
      <c r="T88" s="12"/>
      <c r="U88" s="10">
        <v>20</v>
      </c>
      <c r="V88" s="12" t="s">
        <v>186</v>
      </c>
      <c r="W88" s="12" t="s">
        <v>232</v>
      </c>
      <c r="X88" s="15" t="s">
        <v>555</v>
      </c>
    </row>
    <row r="89" spans="2:24" ht="20.100000000000001" customHeight="1" x14ac:dyDescent="0.2">
      <c r="B89" s="13"/>
      <c r="C89" s="13"/>
      <c r="D89" s="38">
        <v>44880</v>
      </c>
      <c r="E89" s="13"/>
      <c r="F89" s="13"/>
      <c r="G89" s="13"/>
      <c r="H89" s="12" t="s">
        <v>605</v>
      </c>
      <c r="I89" s="12" t="s">
        <v>608</v>
      </c>
      <c r="J89" s="13"/>
      <c r="K89" s="3" t="s">
        <v>613</v>
      </c>
      <c r="L89" s="15" t="s">
        <v>710</v>
      </c>
      <c r="M89" s="15" t="s">
        <v>711</v>
      </c>
      <c r="N89" s="12" t="s">
        <v>708</v>
      </c>
      <c r="O89" s="13">
        <v>0</v>
      </c>
      <c r="P89" s="13"/>
      <c r="Q89" s="14" t="s">
        <v>343</v>
      </c>
      <c r="R89" s="12" t="s">
        <v>46</v>
      </c>
      <c r="S89" s="12"/>
      <c r="T89" s="12"/>
      <c r="U89" s="10">
        <v>1</v>
      </c>
      <c r="V89" s="12" t="s">
        <v>6</v>
      </c>
      <c r="W89" s="12" t="s">
        <v>232</v>
      </c>
      <c r="X89" s="15" t="s">
        <v>556</v>
      </c>
    </row>
    <row r="90" spans="2:24" ht="20.100000000000001" customHeight="1" x14ac:dyDescent="0.2">
      <c r="B90" s="13"/>
      <c r="C90" s="13"/>
      <c r="D90" s="38">
        <v>44881</v>
      </c>
      <c r="E90" s="13"/>
      <c r="F90" s="13"/>
      <c r="G90" s="13"/>
      <c r="H90" s="12" t="s">
        <v>605</v>
      </c>
      <c r="I90" s="12" t="s">
        <v>608</v>
      </c>
      <c r="J90" s="13"/>
      <c r="K90" s="3" t="s">
        <v>613</v>
      </c>
      <c r="L90" s="15" t="s">
        <v>710</v>
      </c>
      <c r="M90" s="15" t="s">
        <v>709</v>
      </c>
      <c r="N90" s="12" t="s">
        <v>708</v>
      </c>
      <c r="O90" s="13">
        <v>0</v>
      </c>
      <c r="P90" s="13"/>
      <c r="Q90" s="14" t="s">
        <v>343</v>
      </c>
      <c r="R90" s="12" t="s">
        <v>46</v>
      </c>
      <c r="S90" s="12"/>
      <c r="T90" s="12"/>
      <c r="U90" s="10">
        <v>1</v>
      </c>
      <c r="V90" s="12" t="s">
        <v>6</v>
      </c>
      <c r="W90" s="12" t="s">
        <v>232</v>
      </c>
      <c r="X90" s="15" t="s">
        <v>557</v>
      </c>
    </row>
    <row r="91" spans="2:24" ht="20.100000000000001" customHeight="1" x14ac:dyDescent="0.2">
      <c r="B91" s="13"/>
      <c r="C91" s="13"/>
      <c r="D91" s="38">
        <v>44881</v>
      </c>
      <c r="E91" s="13"/>
      <c r="F91" s="13"/>
      <c r="G91" s="13"/>
      <c r="H91" s="12" t="s">
        <v>605</v>
      </c>
      <c r="I91" s="12" t="s">
        <v>23</v>
      </c>
      <c r="J91" s="13"/>
      <c r="K91" s="28" t="s">
        <v>601</v>
      </c>
      <c r="L91" s="15" t="s">
        <v>602</v>
      </c>
      <c r="M91" s="15" t="s">
        <v>651</v>
      </c>
      <c r="N91" s="12" t="s">
        <v>46</v>
      </c>
      <c r="O91" s="13">
        <v>0</v>
      </c>
      <c r="P91" s="13"/>
      <c r="Q91" s="14" t="s">
        <v>348</v>
      </c>
      <c r="R91" s="12" t="s">
        <v>46</v>
      </c>
      <c r="S91" s="12"/>
      <c r="T91" s="12"/>
      <c r="U91" s="10">
        <v>10</v>
      </c>
      <c r="V91" s="12" t="s">
        <v>387</v>
      </c>
      <c r="W91" s="12" t="s">
        <v>55</v>
      </c>
      <c r="X91" s="15" t="s">
        <v>558</v>
      </c>
    </row>
    <row r="92" spans="2:24" ht="20.100000000000001" customHeight="1" x14ac:dyDescent="0.2">
      <c r="B92" s="13"/>
      <c r="C92" s="13"/>
      <c r="D92" s="38">
        <v>44881</v>
      </c>
      <c r="E92" s="13"/>
      <c r="F92" s="13"/>
      <c r="G92" s="13"/>
      <c r="H92" s="12" t="s">
        <v>605</v>
      </c>
      <c r="I92" s="12" t="s">
        <v>23</v>
      </c>
      <c r="J92" s="13"/>
      <c r="K92" s="3" t="s">
        <v>624</v>
      </c>
      <c r="L92" s="15" t="s">
        <v>712</v>
      </c>
      <c r="M92" s="15" t="s">
        <v>713</v>
      </c>
      <c r="N92" s="12" t="s">
        <v>46</v>
      </c>
      <c r="O92" s="13">
        <v>0</v>
      </c>
      <c r="P92" s="13"/>
      <c r="Q92" s="14" t="s">
        <v>351</v>
      </c>
      <c r="R92" s="12" t="s">
        <v>46</v>
      </c>
      <c r="S92" s="12" t="s">
        <v>352</v>
      </c>
      <c r="T92" s="12"/>
      <c r="U92" s="10">
        <v>1</v>
      </c>
      <c r="V92" s="12" t="s">
        <v>6</v>
      </c>
      <c r="W92" s="12" t="s">
        <v>55</v>
      </c>
      <c r="X92" s="15" t="s">
        <v>558</v>
      </c>
    </row>
    <row r="93" spans="2:24" ht="20.100000000000001" customHeight="1" x14ac:dyDescent="0.2">
      <c r="B93" s="13"/>
      <c r="C93" s="13"/>
      <c r="D93" s="38">
        <v>44882</v>
      </c>
      <c r="E93" s="13"/>
      <c r="F93" s="13"/>
      <c r="G93" s="13"/>
      <c r="H93" s="12" t="s">
        <v>605</v>
      </c>
      <c r="I93" s="12" t="s">
        <v>23</v>
      </c>
      <c r="J93" s="13"/>
      <c r="K93" s="3" t="s">
        <v>604</v>
      </c>
      <c r="L93" s="15" t="s">
        <v>607</v>
      </c>
      <c r="M93" s="15" t="s">
        <v>714</v>
      </c>
      <c r="N93" s="12" t="s">
        <v>46</v>
      </c>
      <c r="O93" s="13">
        <v>0</v>
      </c>
      <c r="P93" s="13"/>
      <c r="Q93" s="14" t="s">
        <v>833</v>
      </c>
      <c r="R93" s="12" t="s">
        <v>46</v>
      </c>
      <c r="S93" s="12"/>
      <c r="T93" s="12"/>
      <c r="U93" s="10">
        <v>4</v>
      </c>
      <c r="V93" s="12" t="s">
        <v>186</v>
      </c>
      <c r="W93" s="12" t="s">
        <v>55</v>
      </c>
      <c r="X93" s="15" t="s">
        <v>559</v>
      </c>
    </row>
    <row r="94" spans="2:24" ht="20.100000000000001" customHeight="1" x14ac:dyDescent="0.2">
      <c r="B94" s="13"/>
      <c r="C94" s="13"/>
      <c r="D94" s="38">
        <v>44882</v>
      </c>
      <c r="E94" s="13"/>
      <c r="F94" s="13"/>
      <c r="G94" s="13"/>
      <c r="H94" s="12" t="s">
        <v>605</v>
      </c>
      <c r="I94" s="12" t="s">
        <v>608</v>
      </c>
      <c r="J94" s="13"/>
      <c r="K94" s="3" t="s">
        <v>624</v>
      </c>
      <c r="L94" s="15" t="s">
        <v>715</v>
      </c>
      <c r="M94" s="15" t="s">
        <v>716</v>
      </c>
      <c r="N94" s="12" t="s">
        <v>46</v>
      </c>
      <c r="O94" s="13">
        <v>0</v>
      </c>
      <c r="P94" s="13"/>
      <c r="Q94" s="14" t="s">
        <v>358</v>
      </c>
      <c r="R94" s="12" t="s">
        <v>46</v>
      </c>
      <c r="S94" s="12"/>
      <c r="T94" s="12"/>
      <c r="U94" s="10">
        <v>12</v>
      </c>
      <c r="V94" s="12" t="s">
        <v>186</v>
      </c>
      <c r="W94" s="12" t="s">
        <v>55</v>
      </c>
      <c r="X94" s="15" t="s">
        <v>560</v>
      </c>
    </row>
    <row r="95" spans="2:24" ht="20.100000000000001" customHeight="1" x14ac:dyDescent="0.2">
      <c r="B95" s="13"/>
      <c r="C95" s="13"/>
      <c r="D95" s="38">
        <v>44882</v>
      </c>
      <c r="E95" s="13"/>
      <c r="F95" s="13"/>
      <c r="G95" s="13"/>
      <c r="H95" s="12" t="s">
        <v>605</v>
      </c>
      <c r="I95" s="12" t="s">
        <v>23</v>
      </c>
      <c r="J95" s="13"/>
      <c r="K95" s="28" t="s">
        <v>601</v>
      </c>
      <c r="L95" s="15" t="s">
        <v>717</v>
      </c>
      <c r="M95" s="15" t="s">
        <v>718</v>
      </c>
      <c r="N95" s="12" t="s">
        <v>46</v>
      </c>
      <c r="O95" s="13">
        <v>0</v>
      </c>
      <c r="P95" s="13"/>
      <c r="Q95" s="14" t="s">
        <v>151</v>
      </c>
      <c r="R95" s="12" t="s">
        <v>46</v>
      </c>
      <c r="S95" s="12"/>
      <c r="T95" s="12"/>
      <c r="U95" s="10">
        <v>1</v>
      </c>
      <c r="V95" s="12" t="s">
        <v>6</v>
      </c>
      <c r="W95" s="12" t="s">
        <v>55</v>
      </c>
      <c r="X95" s="15" t="s">
        <v>561</v>
      </c>
    </row>
    <row r="96" spans="2:24" ht="20.100000000000001" customHeight="1" x14ac:dyDescent="0.2">
      <c r="B96" s="13"/>
      <c r="C96" s="13"/>
      <c r="D96" s="38">
        <v>44883</v>
      </c>
      <c r="E96" s="13"/>
      <c r="F96" s="13"/>
      <c r="G96" s="13"/>
      <c r="H96" s="12" t="s">
        <v>605</v>
      </c>
      <c r="I96" s="12" t="s">
        <v>23</v>
      </c>
      <c r="J96" s="13"/>
      <c r="K96" s="3" t="s">
        <v>624</v>
      </c>
      <c r="L96" s="15" t="s">
        <v>712</v>
      </c>
      <c r="M96" s="15" t="s">
        <v>713</v>
      </c>
      <c r="N96" s="12" t="s">
        <v>46</v>
      </c>
      <c r="O96" s="13">
        <v>0</v>
      </c>
      <c r="P96" s="13"/>
      <c r="Q96" s="14" t="s">
        <v>438</v>
      </c>
      <c r="R96" s="12" t="s">
        <v>480</v>
      </c>
      <c r="S96" s="12"/>
      <c r="T96" s="12"/>
      <c r="U96" s="10">
        <v>2</v>
      </c>
      <c r="V96" s="12" t="s">
        <v>6</v>
      </c>
      <c r="W96" s="12" t="s">
        <v>55</v>
      </c>
      <c r="X96" s="15" t="s">
        <v>562</v>
      </c>
    </row>
    <row r="97" spans="2:24" ht="20.100000000000001" customHeight="1" x14ac:dyDescent="0.2">
      <c r="B97" s="13"/>
      <c r="C97" s="13"/>
      <c r="D97" s="38">
        <v>44883</v>
      </c>
      <c r="E97" s="13"/>
      <c r="F97" s="13"/>
      <c r="G97" s="13"/>
      <c r="H97" s="12" t="s">
        <v>605</v>
      </c>
      <c r="I97" s="12" t="s">
        <v>608</v>
      </c>
      <c r="J97" s="13"/>
      <c r="K97" s="3" t="s">
        <v>624</v>
      </c>
      <c r="L97" s="15" t="s">
        <v>715</v>
      </c>
      <c r="M97" s="15" t="s">
        <v>716</v>
      </c>
      <c r="N97" s="12" t="s">
        <v>46</v>
      </c>
      <c r="O97" s="13">
        <v>0</v>
      </c>
      <c r="P97" s="13"/>
      <c r="Q97" s="14" t="s">
        <v>358</v>
      </c>
      <c r="R97" s="12" t="s">
        <v>46</v>
      </c>
      <c r="S97" s="12"/>
      <c r="T97" s="12"/>
      <c r="U97" s="10">
        <v>6</v>
      </c>
      <c r="V97" s="12" t="s">
        <v>186</v>
      </c>
      <c r="W97" s="12" t="s">
        <v>55</v>
      </c>
      <c r="X97" s="15" t="s">
        <v>563</v>
      </c>
    </row>
    <row r="98" spans="2:24" ht="20.100000000000001" customHeight="1" x14ac:dyDescent="0.2">
      <c r="B98" s="13"/>
      <c r="C98" s="13"/>
      <c r="D98" s="38">
        <v>44886</v>
      </c>
      <c r="E98" s="13"/>
      <c r="F98" s="13"/>
      <c r="G98" s="13"/>
      <c r="H98" s="12" t="s">
        <v>605</v>
      </c>
      <c r="I98" s="12" t="s">
        <v>608</v>
      </c>
      <c r="J98" s="13"/>
      <c r="K98" s="3" t="s">
        <v>613</v>
      </c>
      <c r="L98" s="15" t="s">
        <v>710</v>
      </c>
      <c r="M98" s="15" t="s">
        <v>711</v>
      </c>
      <c r="N98" s="12" t="s">
        <v>708</v>
      </c>
      <c r="O98" s="13">
        <v>0</v>
      </c>
      <c r="P98" s="13"/>
      <c r="Q98" s="14" t="s">
        <v>343</v>
      </c>
      <c r="R98" s="12" t="s">
        <v>46</v>
      </c>
      <c r="S98" s="12"/>
      <c r="T98" s="12"/>
      <c r="U98" s="10">
        <v>1</v>
      </c>
      <c r="V98" s="12" t="s">
        <v>6</v>
      </c>
      <c r="W98" s="12" t="s">
        <v>89</v>
      </c>
      <c r="X98" s="15" t="s">
        <v>564</v>
      </c>
    </row>
    <row r="99" spans="2:24" ht="20.100000000000001" customHeight="1" x14ac:dyDescent="0.2">
      <c r="B99" s="13"/>
      <c r="C99" s="13"/>
      <c r="D99" s="38">
        <v>44887</v>
      </c>
      <c r="E99" s="13"/>
      <c r="F99" s="13"/>
      <c r="G99" s="13"/>
      <c r="H99" s="12" t="s">
        <v>605</v>
      </c>
      <c r="I99" s="12" t="s">
        <v>608</v>
      </c>
      <c r="J99" s="13"/>
      <c r="K99" s="3" t="s">
        <v>624</v>
      </c>
      <c r="L99" s="15" t="s">
        <v>715</v>
      </c>
      <c r="M99" s="15" t="s">
        <v>716</v>
      </c>
      <c r="N99" s="12" t="s">
        <v>46</v>
      </c>
      <c r="O99" s="13">
        <v>0</v>
      </c>
      <c r="P99" s="13"/>
      <c r="Q99" s="14" t="s">
        <v>358</v>
      </c>
      <c r="R99" s="12" t="s">
        <v>46</v>
      </c>
      <c r="S99" s="12"/>
      <c r="T99" s="12"/>
      <c r="U99" s="10">
        <v>12</v>
      </c>
      <c r="V99" s="12" t="s">
        <v>186</v>
      </c>
      <c r="W99" s="12" t="s">
        <v>55</v>
      </c>
      <c r="X99" s="15" t="s">
        <v>719</v>
      </c>
    </row>
    <row r="100" spans="2:24" ht="20.100000000000001" customHeight="1" x14ac:dyDescent="0.2">
      <c r="B100" s="13"/>
      <c r="C100" s="13"/>
      <c r="D100" s="38">
        <v>44887</v>
      </c>
      <c r="E100" s="13"/>
      <c r="F100" s="13"/>
      <c r="G100" s="13"/>
      <c r="H100" s="12" t="s">
        <v>605</v>
      </c>
      <c r="I100" s="12" t="s">
        <v>606</v>
      </c>
      <c r="J100" s="13"/>
      <c r="K100" s="3" t="s">
        <v>624</v>
      </c>
      <c r="L100" s="15" t="s">
        <v>720</v>
      </c>
      <c r="M100" s="15" t="s">
        <v>721</v>
      </c>
      <c r="N100" s="12" t="s">
        <v>46</v>
      </c>
      <c r="O100" s="13">
        <v>0</v>
      </c>
      <c r="P100" s="13"/>
      <c r="Q100" s="14" t="s">
        <v>439</v>
      </c>
      <c r="R100" s="12" t="s">
        <v>481</v>
      </c>
      <c r="S100" s="12"/>
      <c r="T100" s="12"/>
      <c r="U100" s="10">
        <v>1</v>
      </c>
      <c r="V100" s="12" t="s">
        <v>180</v>
      </c>
      <c r="W100" s="12" t="s">
        <v>55</v>
      </c>
      <c r="X100" s="15" t="s">
        <v>566</v>
      </c>
    </row>
    <row r="101" spans="2:24" ht="20.100000000000001" customHeight="1" x14ac:dyDescent="0.2">
      <c r="B101" s="13"/>
      <c r="C101" s="13"/>
      <c r="D101" s="38">
        <v>44887</v>
      </c>
      <c r="E101" s="13"/>
      <c r="F101" s="13"/>
      <c r="G101" s="13"/>
      <c r="H101" s="12" t="s">
        <v>605</v>
      </c>
      <c r="I101" s="12" t="s">
        <v>608</v>
      </c>
      <c r="J101" s="13"/>
      <c r="K101" s="3" t="s">
        <v>624</v>
      </c>
      <c r="L101" s="15" t="s">
        <v>715</v>
      </c>
      <c r="M101" s="15" t="s">
        <v>716</v>
      </c>
      <c r="N101" s="12" t="s">
        <v>46</v>
      </c>
      <c r="O101" s="13">
        <v>0</v>
      </c>
      <c r="P101" s="13"/>
      <c r="Q101" s="14" t="s">
        <v>358</v>
      </c>
      <c r="R101" s="16" t="s">
        <v>46</v>
      </c>
      <c r="S101" s="12"/>
      <c r="T101" s="12"/>
      <c r="U101" s="10">
        <v>4</v>
      </c>
      <c r="V101" s="12" t="s">
        <v>186</v>
      </c>
      <c r="W101" s="12" t="s">
        <v>55</v>
      </c>
      <c r="X101" s="15" t="s">
        <v>565</v>
      </c>
    </row>
    <row r="102" spans="2:24" ht="20.100000000000001" customHeight="1" x14ac:dyDescent="0.2">
      <c r="B102" s="13"/>
      <c r="C102" s="13"/>
      <c r="D102" s="38">
        <v>44888</v>
      </c>
      <c r="E102" s="13"/>
      <c r="F102" s="13"/>
      <c r="G102" s="13"/>
      <c r="H102" s="12" t="s">
        <v>605</v>
      </c>
      <c r="I102" s="12" t="s">
        <v>663</v>
      </c>
      <c r="J102" s="13"/>
      <c r="K102" s="3" t="s">
        <v>624</v>
      </c>
      <c r="L102" s="15" t="s">
        <v>722</v>
      </c>
      <c r="M102" s="15" t="s">
        <v>723</v>
      </c>
      <c r="N102" s="12" t="s">
        <v>46</v>
      </c>
      <c r="O102" s="13">
        <v>0</v>
      </c>
      <c r="P102" s="13"/>
      <c r="Q102" s="14" t="s">
        <v>440</v>
      </c>
      <c r="R102" s="16" t="s">
        <v>482</v>
      </c>
      <c r="S102" s="12"/>
      <c r="T102" s="12"/>
      <c r="U102" s="10">
        <v>2</v>
      </c>
      <c r="V102" s="12" t="s">
        <v>6</v>
      </c>
      <c r="W102" s="12" t="s">
        <v>55</v>
      </c>
      <c r="X102" s="15" t="s">
        <v>567</v>
      </c>
    </row>
    <row r="103" spans="2:24" ht="20.100000000000001" customHeight="1" x14ac:dyDescent="0.2">
      <c r="B103" s="13"/>
      <c r="C103" s="13"/>
      <c r="D103" s="38">
        <v>44888</v>
      </c>
      <c r="E103" s="13"/>
      <c r="F103" s="13"/>
      <c r="G103" s="13"/>
      <c r="H103" s="12" t="s">
        <v>605</v>
      </c>
      <c r="I103" s="12" t="s">
        <v>606</v>
      </c>
      <c r="J103" s="13"/>
      <c r="K103" s="3" t="s">
        <v>624</v>
      </c>
      <c r="L103" s="15" t="s">
        <v>724</v>
      </c>
      <c r="M103" s="15" t="s">
        <v>725</v>
      </c>
      <c r="N103" s="12" t="s">
        <v>46</v>
      </c>
      <c r="O103" s="13">
        <v>0</v>
      </c>
      <c r="P103" s="13"/>
      <c r="Q103" s="14" t="s">
        <v>441</v>
      </c>
      <c r="R103" s="12" t="s">
        <v>483</v>
      </c>
      <c r="S103" s="12"/>
      <c r="T103" s="12"/>
      <c r="U103" s="10">
        <v>15</v>
      </c>
      <c r="V103" s="12" t="s">
        <v>6</v>
      </c>
      <c r="W103" s="12" t="s">
        <v>55</v>
      </c>
      <c r="X103" s="15" t="s">
        <v>568</v>
      </c>
    </row>
    <row r="104" spans="2:24" ht="20.100000000000001" customHeight="1" x14ac:dyDescent="0.2">
      <c r="B104" s="13"/>
      <c r="C104" s="13"/>
      <c r="D104" s="38">
        <v>44888</v>
      </c>
      <c r="E104" s="13"/>
      <c r="F104" s="13"/>
      <c r="G104" s="13"/>
      <c r="H104" s="12" t="s">
        <v>605</v>
      </c>
      <c r="I104" s="12" t="s">
        <v>608</v>
      </c>
      <c r="J104" s="13"/>
      <c r="K104" s="3" t="s">
        <v>613</v>
      </c>
      <c r="L104" s="15" t="s">
        <v>726</v>
      </c>
      <c r="M104" s="15" t="s">
        <v>727</v>
      </c>
      <c r="N104" s="12" t="s">
        <v>46</v>
      </c>
      <c r="O104" s="13">
        <v>0</v>
      </c>
      <c r="P104" s="13"/>
      <c r="Q104" s="14" t="s">
        <v>788</v>
      </c>
      <c r="R104" s="12" t="s">
        <v>46</v>
      </c>
      <c r="S104" s="12"/>
      <c r="T104" s="12"/>
      <c r="U104" s="10">
        <v>10</v>
      </c>
      <c r="V104" s="12" t="s">
        <v>186</v>
      </c>
      <c r="W104" s="12" t="s">
        <v>55</v>
      </c>
      <c r="X104" s="15" t="s">
        <v>569</v>
      </c>
    </row>
    <row r="105" spans="2:24" ht="20.100000000000001" customHeight="1" x14ac:dyDescent="0.2">
      <c r="B105" s="13"/>
      <c r="C105" s="13"/>
      <c r="D105" s="38">
        <v>44890</v>
      </c>
      <c r="E105" s="13"/>
      <c r="F105" s="13"/>
      <c r="G105" s="13"/>
      <c r="H105" s="12" t="s">
        <v>605</v>
      </c>
      <c r="I105" s="12" t="s">
        <v>656</v>
      </c>
      <c r="J105" s="13"/>
      <c r="K105" s="3" t="s">
        <v>624</v>
      </c>
      <c r="L105" s="15" t="s">
        <v>728</v>
      </c>
      <c r="M105" s="15" t="s">
        <v>729</v>
      </c>
      <c r="N105" s="12" t="s">
        <v>46</v>
      </c>
      <c r="O105" s="13">
        <v>0</v>
      </c>
      <c r="P105" s="13"/>
      <c r="Q105" s="14" t="s">
        <v>442</v>
      </c>
      <c r="R105" s="12" t="s">
        <v>46</v>
      </c>
      <c r="S105" s="12"/>
      <c r="T105" s="12"/>
      <c r="U105" s="10">
        <v>1</v>
      </c>
      <c r="V105" s="12" t="s">
        <v>6</v>
      </c>
      <c r="W105" s="12" t="s">
        <v>55</v>
      </c>
      <c r="X105" s="15" t="s">
        <v>570</v>
      </c>
    </row>
    <row r="106" spans="2:24" ht="20.100000000000001" customHeight="1" x14ac:dyDescent="0.2">
      <c r="B106" s="13"/>
      <c r="C106" s="13"/>
      <c r="D106" s="38">
        <v>44890</v>
      </c>
      <c r="E106" s="13"/>
      <c r="F106" s="13"/>
      <c r="G106" s="13"/>
      <c r="H106" s="12" t="s">
        <v>605</v>
      </c>
      <c r="I106" s="12" t="s">
        <v>656</v>
      </c>
      <c r="J106" s="13"/>
      <c r="K106" s="3" t="s">
        <v>624</v>
      </c>
      <c r="L106" s="15" t="s">
        <v>728</v>
      </c>
      <c r="M106" s="15" t="s">
        <v>729</v>
      </c>
      <c r="N106" s="12" t="s">
        <v>46</v>
      </c>
      <c r="O106" s="13">
        <v>0</v>
      </c>
      <c r="P106" s="13"/>
      <c r="Q106" s="14" t="s">
        <v>443</v>
      </c>
      <c r="R106" s="12" t="s">
        <v>46</v>
      </c>
      <c r="S106" s="12"/>
      <c r="T106" s="12"/>
      <c r="U106" s="10">
        <v>1</v>
      </c>
      <c r="V106" s="12" t="s">
        <v>6</v>
      </c>
      <c r="W106" s="12" t="s">
        <v>55</v>
      </c>
      <c r="X106" s="15" t="s">
        <v>571</v>
      </c>
    </row>
    <row r="107" spans="2:24" ht="20.100000000000001" customHeight="1" x14ac:dyDescent="0.2">
      <c r="B107" s="13"/>
      <c r="C107" s="13"/>
      <c r="D107" s="38">
        <v>44890</v>
      </c>
      <c r="E107" s="13"/>
      <c r="F107" s="13"/>
      <c r="G107" s="13"/>
      <c r="H107" s="12" t="s">
        <v>605</v>
      </c>
      <c r="I107" s="12" t="s">
        <v>656</v>
      </c>
      <c r="J107" s="13"/>
      <c r="K107" s="3" t="s">
        <v>624</v>
      </c>
      <c r="L107" s="15" t="s">
        <v>728</v>
      </c>
      <c r="M107" s="15" t="s">
        <v>730</v>
      </c>
      <c r="N107" s="12" t="s">
        <v>46</v>
      </c>
      <c r="O107" s="13">
        <v>0</v>
      </c>
      <c r="P107" s="13"/>
      <c r="Q107" s="14" t="s">
        <v>444</v>
      </c>
      <c r="R107" s="12" t="s">
        <v>46</v>
      </c>
      <c r="S107" s="12"/>
      <c r="T107" s="12"/>
      <c r="U107" s="10">
        <v>2</v>
      </c>
      <c r="V107" s="12" t="s">
        <v>6</v>
      </c>
      <c r="W107" s="12" t="s">
        <v>55</v>
      </c>
      <c r="X107" s="15" t="s">
        <v>571</v>
      </c>
    </row>
    <row r="108" spans="2:24" ht="20.100000000000001" customHeight="1" x14ac:dyDescent="0.2">
      <c r="B108" s="13"/>
      <c r="C108" s="13"/>
      <c r="D108" s="38">
        <v>44890</v>
      </c>
      <c r="E108" s="13"/>
      <c r="F108" s="13"/>
      <c r="G108" s="13"/>
      <c r="H108" s="12" t="s">
        <v>605</v>
      </c>
      <c r="I108" s="12" t="s">
        <v>731</v>
      </c>
      <c r="J108" s="13"/>
      <c r="K108" s="3" t="s">
        <v>624</v>
      </c>
      <c r="L108" s="15" t="s">
        <v>728</v>
      </c>
      <c r="M108" s="15" t="s">
        <v>732</v>
      </c>
      <c r="N108" s="12" t="s">
        <v>46</v>
      </c>
      <c r="O108" s="13">
        <v>0</v>
      </c>
      <c r="P108" s="13"/>
      <c r="Q108" s="14" t="s">
        <v>295</v>
      </c>
      <c r="R108" s="12" t="s">
        <v>46</v>
      </c>
      <c r="S108" s="12"/>
      <c r="T108" s="12"/>
      <c r="U108" s="10">
        <v>1</v>
      </c>
      <c r="V108" s="12" t="s">
        <v>6</v>
      </c>
      <c r="W108" s="12" t="s">
        <v>55</v>
      </c>
      <c r="X108" s="15" t="s">
        <v>572</v>
      </c>
    </row>
    <row r="109" spans="2:24" ht="20.100000000000001" customHeight="1" x14ac:dyDescent="0.2">
      <c r="B109" s="13"/>
      <c r="C109" s="13"/>
      <c r="D109" s="38">
        <v>44893</v>
      </c>
      <c r="E109" s="13"/>
      <c r="F109" s="13"/>
      <c r="G109" s="13"/>
      <c r="H109" s="12" t="s">
        <v>605</v>
      </c>
      <c r="I109" s="12" t="s">
        <v>608</v>
      </c>
      <c r="J109" s="13"/>
      <c r="K109" s="3" t="s">
        <v>613</v>
      </c>
      <c r="L109" s="15" t="s">
        <v>618</v>
      </c>
      <c r="M109" s="15" t="s">
        <v>709</v>
      </c>
      <c r="N109" s="12" t="s">
        <v>708</v>
      </c>
      <c r="O109" s="13">
        <v>0</v>
      </c>
      <c r="P109" s="13"/>
      <c r="Q109" s="14" t="s">
        <v>343</v>
      </c>
      <c r="R109" s="16" t="s">
        <v>46</v>
      </c>
      <c r="S109" s="12" t="s">
        <v>496</v>
      </c>
      <c r="T109" s="12"/>
      <c r="U109" s="10">
        <v>1</v>
      </c>
      <c r="V109" s="12" t="s">
        <v>6</v>
      </c>
      <c r="W109" s="12" t="s">
        <v>89</v>
      </c>
      <c r="X109" s="15" t="s">
        <v>557</v>
      </c>
    </row>
    <row r="110" spans="2:24" ht="20.100000000000001" customHeight="1" x14ac:dyDescent="0.2">
      <c r="B110" s="13"/>
      <c r="C110" s="13"/>
      <c r="D110" s="38">
        <v>44897</v>
      </c>
      <c r="E110" s="13"/>
      <c r="F110" s="13"/>
      <c r="G110" s="13"/>
      <c r="H110" s="12" t="s">
        <v>605</v>
      </c>
      <c r="I110" s="12" t="s">
        <v>733</v>
      </c>
      <c r="J110" s="13"/>
      <c r="K110" s="3" t="s">
        <v>624</v>
      </c>
      <c r="L110" s="15" t="s">
        <v>728</v>
      </c>
      <c r="M110" s="15" t="s">
        <v>735</v>
      </c>
      <c r="N110" s="12" t="s">
        <v>46</v>
      </c>
      <c r="O110" s="13">
        <v>0</v>
      </c>
      <c r="P110" s="13"/>
      <c r="Q110" s="14" t="s">
        <v>445</v>
      </c>
      <c r="R110" s="16">
        <v>601408305</v>
      </c>
      <c r="S110" s="12"/>
      <c r="T110" s="12"/>
      <c r="U110" s="10">
        <v>12</v>
      </c>
      <c r="V110" s="12" t="s">
        <v>6</v>
      </c>
      <c r="W110" s="12" t="s">
        <v>55</v>
      </c>
      <c r="X110" s="15" t="s">
        <v>734</v>
      </c>
    </row>
    <row r="111" spans="2:24" ht="20.100000000000001" customHeight="1" x14ac:dyDescent="0.2">
      <c r="B111" s="13"/>
      <c r="C111" s="13"/>
      <c r="D111" s="38">
        <v>44897</v>
      </c>
      <c r="E111" s="13"/>
      <c r="F111" s="13"/>
      <c r="G111" s="13"/>
      <c r="H111" s="12" t="s">
        <v>605</v>
      </c>
      <c r="I111" s="12" t="s">
        <v>733</v>
      </c>
      <c r="J111" s="13"/>
      <c r="K111" s="3" t="s">
        <v>624</v>
      </c>
      <c r="L111" s="15" t="s">
        <v>728</v>
      </c>
      <c r="M111" s="15" t="s">
        <v>735</v>
      </c>
      <c r="N111" s="12" t="s">
        <v>46</v>
      </c>
      <c r="O111" s="13">
        <v>0</v>
      </c>
      <c r="P111" s="13"/>
      <c r="Q111" s="14" t="s">
        <v>445</v>
      </c>
      <c r="R111" s="12" t="s">
        <v>484</v>
      </c>
      <c r="S111" s="12"/>
      <c r="T111" s="12"/>
      <c r="U111" s="10">
        <v>20</v>
      </c>
      <c r="V111" s="12" t="s">
        <v>6</v>
      </c>
      <c r="W111" s="12" t="s">
        <v>55</v>
      </c>
      <c r="X111" s="15" t="s">
        <v>573</v>
      </c>
    </row>
    <row r="112" spans="2:24" ht="20.100000000000001" customHeight="1" x14ac:dyDescent="0.2">
      <c r="B112" s="13"/>
      <c r="C112" s="13"/>
      <c r="D112" s="38">
        <v>44897</v>
      </c>
      <c r="E112" s="13"/>
      <c r="F112" s="13"/>
      <c r="G112" s="13"/>
      <c r="H112" s="12" t="s">
        <v>605</v>
      </c>
      <c r="I112" s="12" t="s">
        <v>608</v>
      </c>
      <c r="J112" s="13"/>
      <c r="K112" s="3" t="s">
        <v>613</v>
      </c>
      <c r="L112" s="15" t="s">
        <v>710</v>
      </c>
      <c r="M112" s="15" t="s">
        <v>711</v>
      </c>
      <c r="N112" s="12" t="s">
        <v>708</v>
      </c>
      <c r="O112" s="13">
        <v>0</v>
      </c>
      <c r="P112" s="13"/>
      <c r="Q112" s="14" t="s">
        <v>343</v>
      </c>
      <c r="R112" s="12" t="s">
        <v>46</v>
      </c>
      <c r="S112" s="12"/>
      <c r="T112" s="12"/>
      <c r="U112" s="10">
        <v>1</v>
      </c>
      <c r="V112" s="12" t="s">
        <v>6</v>
      </c>
      <c r="W112" s="12" t="s">
        <v>89</v>
      </c>
      <c r="X112" s="15" t="s">
        <v>574</v>
      </c>
    </row>
    <row r="113" spans="2:24" ht="20.100000000000001" customHeight="1" x14ac:dyDescent="0.2">
      <c r="B113" s="13"/>
      <c r="C113" s="13"/>
      <c r="D113" s="38">
        <v>44897</v>
      </c>
      <c r="E113" s="13"/>
      <c r="F113" s="13"/>
      <c r="G113" s="13"/>
      <c r="H113" s="12" t="s">
        <v>605</v>
      </c>
      <c r="I113" s="12" t="s">
        <v>669</v>
      </c>
      <c r="J113" s="13"/>
      <c r="K113" s="3" t="s">
        <v>613</v>
      </c>
      <c r="L113" s="15" t="s">
        <v>680</v>
      </c>
      <c r="M113" s="15" t="s">
        <v>736</v>
      </c>
      <c r="N113" s="12" t="s">
        <v>46</v>
      </c>
      <c r="O113" s="13">
        <v>0</v>
      </c>
      <c r="P113" s="13"/>
      <c r="Q113" s="14" t="s">
        <v>398</v>
      </c>
      <c r="R113" s="12" t="s">
        <v>46</v>
      </c>
      <c r="S113" s="12"/>
      <c r="T113" s="12"/>
      <c r="U113" s="10">
        <v>1</v>
      </c>
      <c r="V113" s="12" t="s">
        <v>6</v>
      </c>
      <c r="W113" s="12" t="s">
        <v>55</v>
      </c>
      <c r="X113" s="15" t="s">
        <v>575</v>
      </c>
    </row>
    <row r="114" spans="2:24" ht="20.100000000000001" customHeight="1" x14ac:dyDescent="0.2">
      <c r="B114" s="13"/>
      <c r="C114" s="13"/>
      <c r="D114" s="38">
        <v>44900</v>
      </c>
      <c r="E114" s="13"/>
      <c r="F114" s="13"/>
      <c r="G114" s="13"/>
      <c r="H114" s="12" t="s">
        <v>605</v>
      </c>
      <c r="I114" s="12" t="s">
        <v>656</v>
      </c>
      <c r="J114" s="13"/>
      <c r="K114" s="3" t="s">
        <v>624</v>
      </c>
      <c r="L114" s="15" t="s">
        <v>737</v>
      </c>
      <c r="M114" s="15" t="s">
        <v>738</v>
      </c>
      <c r="N114" s="12" t="s">
        <v>46</v>
      </c>
      <c r="O114" s="13">
        <v>0</v>
      </c>
      <c r="P114" s="13"/>
      <c r="Q114" s="14" t="s">
        <v>309</v>
      </c>
      <c r="R114" s="12" t="s">
        <v>46</v>
      </c>
      <c r="S114" s="12"/>
      <c r="T114" s="12"/>
      <c r="U114" s="10">
        <v>1</v>
      </c>
      <c r="V114" s="12" t="s">
        <v>6</v>
      </c>
      <c r="W114" s="12" t="s">
        <v>55</v>
      </c>
      <c r="X114" s="15" t="s">
        <v>576</v>
      </c>
    </row>
    <row r="115" spans="2:24" ht="20.100000000000001" customHeight="1" x14ac:dyDescent="0.2">
      <c r="B115" s="13"/>
      <c r="C115" s="13"/>
      <c r="D115" s="38">
        <v>44901</v>
      </c>
      <c r="E115" s="13"/>
      <c r="F115" s="13"/>
      <c r="G115" s="13"/>
      <c r="H115" s="12" t="s">
        <v>605</v>
      </c>
      <c r="I115" s="12" t="s">
        <v>23</v>
      </c>
      <c r="J115" s="13"/>
      <c r="K115" s="28" t="s">
        <v>601</v>
      </c>
      <c r="L115" s="15" t="s">
        <v>602</v>
      </c>
      <c r="M115" s="15" t="s">
        <v>739</v>
      </c>
      <c r="N115" s="12" t="s">
        <v>46</v>
      </c>
      <c r="O115" s="13">
        <v>0</v>
      </c>
      <c r="P115" s="13"/>
      <c r="Q115" s="14" t="s">
        <v>446</v>
      </c>
      <c r="R115" s="12" t="s">
        <v>46</v>
      </c>
      <c r="S115" s="12"/>
      <c r="T115" s="12"/>
      <c r="U115" s="10">
        <v>2</v>
      </c>
      <c r="V115" s="12" t="s">
        <v>387</v>
      </c>
      <c r="W115" s="12" t="s">
        <v>55</v>
      </c>
      <c r="X115" s="15" t="s">
        <v>577</v>
      </c>
    </row>
    <row r="116" spans="2:24" ht="20.100000000000001" customHeight="1" x14ac:dyDescent="0.2">
      <c r="B116" s="13"/>
      <c r="C116" s="13"/>
      <c r="D116" s="38">
        <v>44902</v>
      </c>
      <c r="E116" s="13"/>
      <c r="F116" s="13"/>
      <c r="G116" s="13"/>
      <c r="H116" s="12" t="s">
        <v>700</v>
      </c>
      <c r="I116" s="12" t="s">
        <v>700</v>
      </c>
      <c r="J116" s="13"/>
      <c r="K116" s="3" t="s">
        <v>46</v>
      </c>
      <c r="L116" s="15" t="s">
        <v>702</v>
      </c>
      <c r="M116" s="15" t="s">
        <v>740</v>
      </c>
      <c r="N116" s="12" t="s">
        <v>46</v>
      </c>
      <c r="O116" s="13">
        <v>0</v>
      </c>
      <c r="P116" s="13"/>
      <c r="Q116" s="14" t="s">
        <v>231</v>
      </c>
      <c r="R116" s="12" t="s">
        <v>46</v>
      </c>
      <c r="S116" s="12"/>
      <c r="T116" s="12"/>
      <c r="U116" s="10">
        <v>50</v>
      </c>
      <c r="V116" s="12" t="s">
        <v>186</v>
      </c>
      <c r="W116" s="12" t="s">
        <v>232</v>
      </c>
      <c r="X116" s="15" t="s">
        <v>578</v>
      </c>
    </row>
    <row r="117" spans="2:24" ht="20.100000000000001" customHeight="1" x14ac:dyDescent="0.2">
      <c r="B117" s="13"/>
      <c r="C117" s="13"/>
      <c r="D117" s="38">
        <v>44904</v>
      </c>
      <c r="E117" s="13"/>
      <c r="F117" s="13"/>
      <c r="G117" s="13"/>
      <c r="H117" s="12" t="s">
        <v>605</v>
      </c>
      <c r="I117" s="12" t="s">
        <v>731</v>
      </c>
      <c r="J117" s="13"/>
      <c r="K117" s="3" t="s">
        <v>624</v>
      </c>
      <c r="L117" s="15" t="s">
        <v>728</v>
      </c>
      <c r="M117" s="15" t="s">
        <v>741</v>
      </c>
      <c r="N117" s="12" t="s">
        <v>46</v>
      </c>
      <c r="O117" s="13">
        <v>0</v>
      </c>
      <c r="P117" s="13"/>
      <c r="Q117" s="14" t="s">
        <v>447</v>
      </c>
      <c r="R117" s="12" t="s">
        <v>485</v>
      </c>
      <c r="S117" s="12"/>
      <c r="T117" s="12"/>
      <c r="U117" s="10">
        <v>1</v>
      </c>
      <c r="V117" s="12" t="s">
        <v>6</v>
      </c>
      <c r="W117" s="12" t="s">
        <v>55</v>
      </c>
      <c r="X117" s="15" t="s">
        <v>579</v>
      </c>
    </row>
    <row r="118" spans="2:24" ht="20.100000000000001" customHeight="1" x14ac:dyDescent="0.2">
      <c r="B118" s="13"/>
      <c r="C118" s="13"/>
      <c r="D118" s="38">
        <v>44905</v>
      </c>
      <c r="E118" s="13"/>
      <c r="F118" s="13"/>
      <c r="G118" s="13"/>
      <c r="H118" s="12" t="s">
        <v>605</v>
      </c>
      <c r="I118" s="12" t="s">
        <v>744</v>
      </c>
      <c r="J118" s="13"/>
      <c r="K118" s="3" t="s">
        <v>624</v>
      </c>
      <c r="L118" s="15" t="s">
        <v>742</v>
      </c>
      <c r="M118" s="15" t="s">
        <v>743</v>
      </c>
      <c r="N118" s="12" t="s">
        <v>46</v>
      </c>
      <c r="O118" s="13">
        <v>0</v>
      </c>
      <c r="P118" s="13"/>
      <c r="Q118" s="14" t="s">
        <v>319</v>
      </c>
      <c r="R118" s="16" t="s">
        <v>46</v>
      </c>
      <c r="S118" s="12"/>
      <c r="T118" s="12"/>
      <c r="U118" s="10">
        <v>4</v>
      </c>
      <c r="V118" s="12" t="s">
        <v>6</v>
      </c>
      <c r="W118" s="12" t="s">
        <v>55</v>
      </c>
      <c r="X118" s="15" t="s">
        <v>580</v>
      </c>
    </row>
    <row r="119" spans="2:24" ht="20.100000000000001" customHeight="1" x14ac:dyDescent="0.2">
      <c r="B119" s="13"/>
      <c r="C119" s="13"/>
      <c r="D119" s="38">
        <v>44905</v>
      </c>
      <c r="E119" s="13"/>
      <c r="F119" s="13"/>
      <c r="G119" s="13"/>
      <c r="H119" s="12" t="s">
        <v>605</v>
      </c>
      <c r="I119" s="12" t="s">
        <v>663</v>
      </c>
      <c r="J119" s="13"/>
      <c r="K119" s="3" t="s">
        <v>624</v>
      </c>
      <c r="L119" s="15" t="s">
        <v>745</v>
      </c>
      <c r="M119" s="15" t="s">
        <v>746</v>
      </c>
      <c r="N119" s="12" t="s">
        <v>46</v>
      </c>
      <c r="O119" s="13">
        <v>0</v>
      </c>
      <c r="P119" s="13"/>
      <c r="Q119" s="14" t="s">
        <v>448</v>
      </c>
      <c r="R119" s="12" t="s">
        <v>486</v>
      </c>
      <c r="S119" s="12"/>
      <c r="T119" s="12"/>
      <c r="U119" s="10">
        <v>2</v>
      </c>
      <c r="V119" s="12" t="s">
        <v>6</v>
      </c>
      <c r="W119" s="12" t="s">
        <v>55</v>
      </c>
      <c r="X119" s="15" t="s">
        <v>581</v>
      </c>
    </row>
    <row r="120" spans="2:24" ht="20.100000000000001" customHeight="1" x14ac:dyDescent="0.2">
      <c r="B120" s="13"/>
      <c r="C120" s="13"/>
      <c r="D120" s="38">
        <v>44908</v>
      </c>
      <c r="E120" s="13"/>
      <c r="F120" s="13"/>
      <c r="G120" s="13"/>
      <c r="H120" s="12" t="s">
        <v>605</v>
      </c>
      <c r="I120" s="12" t="s">
        <v>669</v>
      </c>
      <c r="J120" s="13"/>
      <c r="K120" s="3" t="s">
        <v>613</v>
      </c>
      <c r="L120" s="15" t="s">
        <v>747</v>
      </c>
      <c r="M120" s="15" t="s">
        <v>748</v>
      </c>
      <c r="N120" s="12" t="s">
        <v>46</v>
      </c>
      <c r="O120" s="13">
        <v>0</v>
      </c>
      <c r="P120" s="13"/>
      <c r="Q120" s="14" t="s">
        <v>184</v>
      </c>
      <c r="R120" s="12" t="s">
        <v>46</v>
      </c>
      <c r="S120" s="12"/>
      <c r="T120" s="12"/>
      <c r="U120" s="10">
        <v>2</v>
      </c>
      <c r="V120" s="12" t="s">
        <v>186</v>
      </c>
      <c r="W120" s="12" t="s">
        <v>55</v>
      </c>
      <c r="X120" s="15" t="s">
        <v>582</v>
      </c>
    </row>
    <row r="121" spans="2:24" ht="20.100000000000001" customHeight="1" x14ac:dyDescent="0.2">
      <c r="B121" s="13"/>
      <c r="C121" s="13"/>
      <c r="D121" s="38">
        <v>44908</v>
      </c>
      <c r="E121" s="13"/>
      <c r="F121" s="13"/>
      <c r="G121" s="13"/>
      <c r="H121" s="12" t="s">
        <v>605</v>
      </c>
      <c r="I121" s="12" t="s">
        <v>606</v>
      </c>
      <c r="J121" s="13"/>
      <c r="K121" s="3" t="s">
        <v>624</v>
      </c>
      <c r="L121" s="15" t="s">
        <v>706</v>
      </c>
      <c r="M121" s="15" t="s">
        <v>707</v>
      </c>
      <c r="N121" s="12" t="s">
        <v>46</v>
      </c>
      <c r="O121" s="13">
        <v>0</v>
      </c>
      <c r="P121" s="13"/>
      <c r="Q121" s="14" t="s">
        <v>315</v>
      </c>
      <c r="R121" s="12" t="s">
        <v>46</v>
      </c>
      <c r="S121" s="12" t="s">
        <v>316</v>
      </c>
      <c r="T121" s="12"/>
      <c r="U121" s="10">
        <v>1</v>
      </c>
      <c r="V121" s="12" t="s">
        <v>6</v>
      </c>
      <c r="W121" s="12" t="s">
        <v>55</v>
      </c>
      <c r="X121" s="15" t="s">
        <v>583</v>
      </c>
    </row>
    <row r="122" spans="2:24" ht="20.100000000000001" customHeight="1" x14ac:dyDescent="0.2">
      <c r="B122" s="13"/>
      <c r="C122" s="13"/>
      <c r="D122" s="38">
        <v>44909</v>
      </c>
      <c r="E122" s="13"/>
      <c r="F122" s="13"/>
      <c r="G122" s="13"/>
      <c r="H122" s="12" t="s">
        <v>230</v>
      </c>
      <c r="I122" s="12" t="s">
        <v>230</v>
      </c>
      <c r="J122" s="13"/>
      <c r="K122" s="3" t="s">
        <v>46</v>
      </c>
      <c r="L122" s="15" t="s">
        <v>702</v>
      </c>
      <c r="M122" s="15" t="s">
        <v>684</v>
      </c>
      <c r="N122" s="12" t="s">
        <v>46</v>
      </c>
      <c r="O122" s="13">
        <v>0</v>
      </c>
      <c r="P122" s="13"/>
      <c r="Q122" s="14" t="s">
        <v>231</v>
      </c>
      <c r="R122" s="16" t="s">
        <v>46</v>
      </c>
      <c r="S122" s="12"/>
      <c r="T122" s="12"/>
      <c r="U122" s="10">
        <v>128</v>
      </c>
      <c r="V122" s="12" t="s">
        <v>186</v>
      </c>
      <c r="W122" s="12" t="s">
        <v>232</v>
      </c>
      <c r="X122" s="15" t="s">
        <v>584</v>
      </c>
    </row>
    <row r="123" spans="2:24" ht="20.100000000000001" customHeight="1" x14ac:dyDescent="0.2">
      <c r="B123" s="13"/>
      <c r="C123" s="13"/>
      <c r="D123" s="38">
        <v>44909</v>
      </c>
      <c r="E123" s="13"/>
      <c r="F123" s="13"/>
      <c r="G123" s="13"/>
      <c r="H123" s="12" t="s">
        <v>605</v>
      </c>
      <c r="I123" s="12" t="s">
        <v>656</v>
      </c>
      <c r="J123" s="13"/>
      <c r="K123" s="3" t="s">
        <v>624</v>
      </c>
      <c r="L123" s="15" t="s">
        <v>749</v>
      </c>
      <c r="M123" s="15" t="s">
        <v>738</v>
      </c>
      <c r="N123" s="12" t="s">
        <v>46</v>
      </c>
      <c r="O123" s="13">
        <v>0</v>
      </c>
      <c r="P123" s="13"/>
      <c r="Q123" s="14" t="s">
        <v>449</v>
      </c>
      <c r="R123" s="12" t="s">
        <v>487</v>
      </c>
      <c r="S123" s="12"/>
      <c r="T123" s="12"/>
      <c r="U123" s="10">
        <v>3</v>
      </c>
      <c r="V123" s="12" t="s">
        <v>6</v>
      </c>
      <c r="W123" s="12" t="s">
        <v>55</v>
      </c>
      <c r="X123" s="15" t="s">
        <v>585</v>
      </c>
    </row>
    <row r="124" spans="2:24" ht="20.100000000000001" customHeight="1" x14ac:dyDescent="0.2">
      <c r="B124" s="13"/>
      <c r="C124" s="13"/>
      <c r="D124" s="38">
        <v>44909</v>
      </c>
      <c r="E124" s="13"/>
      <c r="F124" s="13"/>
      <c r="G124" s="13"/>
      <c r="H124" s="12" t="s">
        <v>605</v>
      </c>
      <c r="I124" s="12" t="s">
        <v>656</v>
      </c>
      <c r="J124" s="13"/>
      <c r="K124" s="5" t="s">
        <v>624</v>
      </c>
      <c r="L124" s="15" t="s">
        <v>749</v>
      </c>
      <c r="M124" s="15" t="s">
        <v>738</v>
      </c>
      <c r="N124" s="12" t="s">
        <v>46</v>
      </c>
      <c r="O124" s="13">
        <v>0</v>
      </c>
      <c r="P124" s="13"/>
      <c r="Q124" s="14" t="s">
        <v>450</v>
      </c>
      <c r="R124" s="12" t="s">
        <v>46</v>
      </c>
      <c r="S124" s="12"/>
      <c r="T124" s="12"/>
      <c r="U124" s="10">
        <v>1</v>
      </c>
      <c r="V124" s="12" t="s">
        <v>6</v>
      </c>
      <c r="W124" s="12" t="s">
        <v>55</v>
      </c>
      <c r="X124" s="15" t="s">
        <v>585</v>
      </c>
    </row>
    <row r="125" spans="2:24" ht="20.100000000000001" customHeight="1" x14ac:dyDescent="0.2">
      <c r="B125" s="13"/>
      <c r="C125" s="13"/>
      <c r="D125" s="38">
        <v>44909</v>
      </c>
      <c r="E125" s="13"/>
      <c r="F125" s="13"/>
      <c r="G125" s="13"/>
      <c r="H125" s="12" t="s">
        <v>605</v>
      </c>
      <c r="I125" s="12" t="s">
        <v>656</v>
      </c>
      <c r="J125" s="13"/>
      <c r="K125" s="5" t="s">
        <v>624</v>
      </c>
      <c r="L125" s="15" t="s">
        <v>749</v>
      </c>
      <c r="M125" s="15" t="s">
        <v>738</v>
      </c>
      <c r="N125" s="12" t="s">
        <v>46</v>
      </c>
      <c r="O125" s="13">
        <v>0</v>
      </c>
      <c r="P125" s="13"/>
      <c r="Q125" s="14" t="s">
        <v>451</v>
      </c>
      <c r="R125" s="12" t="s">
        <v>46</v>
      </c>
      <c r="S125" s="12"/>
      <c r="T125" s="12"/>
      <c r="U125" s="10">
        <v>4</v>
      </c>
      <c r="V125" s="12" t="s">
        <v>6</v>
      </c>
      <c r="W125" s="12" t="s">
        <v>55</v>
      </c>
      <c r="X125" s="15" t="s">
        <v>585</v>
      </c>
    </row>
    <row r="126" spans="2:24" ht="20.100000000000001" customHeight="1" x14ac:dyDescent="0.2">
      <c r="B126" s="13"/>
      <c r="C126" s="13"/>
      <c r="D126" s="38">
        <v>44911</v>
      </c>
      <c r="E126" s="13"/>
      <c r="F126" s="13"/>
      <c r="G126" s="13"/>
      <c r="H126" s="12" t="s">
        <v>605</v>
      </c>
      <c r="I126" s="12" t="s">
        <v>656</v>
      </c>
      <c r="J126" s="13"/>
      <c r="K126" s="5" t="s">
        <v>624</v>
      </c>
      <c r="L126" s="15" t="s">
        <v>749</v>
      </c>
      <c r="M126" s="15" t="s">
        <v>738</v>
      </c>
      <c r="N126" s="12" t="s">
        <v>46</v>
      </c>
      <c r="O126" s="13">
        <v>0</v>
      </c>
      <c r="P126" s="13"/>
      <c r="Q126" s="14" t="s">
        <v>452</v>
      </c>
      <c r="R126" s="12" t="s">
        <v>46</v>
      </c>
      <c r="S126" s="12"/>
      <c r="T126" s="12"/>
      <c r="U126" s="10">
        <v>2</v>
      </c>
      <c r="V126" s="12" t="s">
        <v>160</v>
      </c>
      <c r="W126" s="12" t="s">
        <v>55</v>
      </c>
      <c r="X126" s="15" t="s">
        <v>586</v>
      </c>
    </row>
    <row r="127" spans="2:24" ht="20.100000000000001" customHeight="1" x14ac:dyDescent="0.2">
      <c r="B127" s="13"/>
      <c r="C127" s="13"/>
      <c r="D127" s="38">
        <v>44911</v>
      </c>
      <c r="E127" s="13"/>
      <c r="F127" s="13"/>
      <c r="G127" s="13"/>
      <c r="H127" s="12" t="s">
        <v>605</v>
      </c>
      <c r="I127" s="12" t="s">
        <v>656</v>
      </c>
      <c r="J127" s="13"/>
      <c r="K127" s="5" t="s">
        <v>624</v>
      </c>
      <c r="L127" s="15" t="s">
        <v>749</v>
      </c>
      <c r="M127" s="15" t="s">
        <v>738</v>
      </c>
      <c r="N127" s="12" t="s">
        <v>46</v>
      </c>
      <c r="O127" s="13">
        <v>0</v>
      </c>
      <c r="P127" s="13"/>
      <c r="Q127" s="14" t="s">
        <v>453</v>
      </c>
      <c r="R127" s="12" t="s">
        <v>46</v>
      </c>
      <c r="S127" s="12"/>
      <c r="T127" s="12"/>
      <c r="U127" s="10">
        <v>4</v>
      </c>
      <c r="V127" s="12" t="s">
        <v>6</v>
      </c>
      <c r="W127" s="12" t="s">
        <v>55</v>
      </c>
      <c r="X127" s="15" t="s">
        <v>586</v>
      </c>
    </row>
    <row r="128" spans="2:24" ht="20.100000000000001" customHeight="1" x14ac:dyDescent="0.2">
      <c r="B128" s="13"/>
      <c r="C128" s="13"/>
      <c r="D128" s="38">
        <v>44911</v>
      </c>
      <c r="E128" s="13"/>
      <c r="F128" s="13"/>
      <c r="G128" s="13"/>
      <c r="H128" s="12" t="s">
        <v>605</v>
      </c>
      <c r="I128" s="12" t="s">
        <v>656</v>
      </c>
      <c r="J128" s="13"/>
      <c r="K128" s="5" t="s">
        <v>624</v>
      </c>
      <c r="L128" s="15" t="s">
        <v>749</v>
      </c>
      <c r="M128" s="15" t="s">
        <v>738</v>
      </c>
      <c r="N128" s="12" t="s">
        <v>46</v>
      </c>
      <c r="O128" s="13">
        <v>0</v>
      </c>
      <c r="P128" s="13"/>
      <c r="Q128" s="14" t="s">
        <v>454</v>
      </c>
      <c r="R128" s="12" t="s">
        <v>46</v>
      </c>
      <c r="S128" s="12"/>
      <c r="T128" s="12"/>
      <c r="U128" s="10">
        <v>2</v>
      </c>
      <c r="V128" s="12" t="s">
        <v>6</v>
      </c>
      <c r="W128" s="12" t="s">
        <v>232</v>
      </c>
      <c r="X128" s="15" t="s">
        <v>586</v>
      </c>
    </row>
    <row r="129" spans="2:24" ht="20.100000000000001" customHeight="1" x14ac:dyDescent="0.2">
      <c r="B129" s="13"/>
      <c r="C129" s="13"/>
      <c r="D129" s="38">
        <v>44911</v>
      </c>
      <c r="E129" s="13"/>
      <c r="F129" s="13"/>
      <c r="G129" s="13"/>
      <c r="H129" s="12" t="s">
        <v>605</v>
      </c>
      <c r="I129" s="12" t="s">
        <v>656</v>
      </c>
      <c r="J129" s="13"/>
      <c r="K129" s="5" t="s">
        <v>624</v>
      </c>
      <c r="L129" s="15" t="s">
        <v>749</v>
      </c>
      <c r="M129" s="15" t="s">
        <v>738</v>
      </c>
      <c r="N129" s="12" t="s">
        <v>46</v>
      </c>
      <c r="O129" s="13">
        <v>0</v>
      </c>
      <c r="P129" s="13"/>
      <c r="Q129" s="14" t="s">
        <v>455</v>
      </c>
      <c r="R129" s="12" t="s">
        <v>46</v>
      </c>
      <c r="S129" s="12"/>
      <c r="T129" s="12"/>
      <c r="U129" s="10">
        <v>1</v>
      </c>
      <c r="V129" s="12" t="s">
        <v>6</v>
      </c>
      <c r="W129" s="12" t="s">
        <v>232</v>
      </c>
      <c r="X129" s="15" t="s">
        <v>586</v>
      </c>
    </row>
    <row r="130" spans="2:24" ht="20.100000000000001" customHeight="1" x14ac:dyDescent="0.2">
      <c r="B130" s="13"/>
      <c r="C130" s="13"/>
      <c r="D130" s="38">
        <v>44911</v>
      </c>
      <c r="E130" s="13"/>
      <c r="F130" s="13"/>
      <c r="G130" s="13"/>
      <c r="H130" s="12" t="s">
        <v>605</v>
      </c>
      <c r="I130" s="12" t="s">
        <v>656</v>
      </c>
      <c r="J130" s="13"/>
      <c r="K130" s="5" t="s">
        <v>624</v>
      </c>
      <c r="L130" s="15" t="s">
        <v>749</v>
      </c>
      <c r="M130" s="15" t="s">
        <v>738</v>
      </c>
      <c r="N130" s="12" t="s">
        <v>46</v>
      </c>
      <c r="O130" s="13">
        <v>0</v>
      </c>
      <c r="P130" s="13"/>
      <c r="Q130" s="14" t="s">
        <v>456</v>
      </c>
      <c r="R130" s="12" t="s">
        <v>46</v>
      </c>
      <c r="S130" s="12"/>
      <c r="T130" s="12"/>
      <c r="U130" s="10">
        <v>1</v>
      </c>
      <c r="V130" s="12" t="s">
        <v>6</v>
      </c>
      <c r="W130" s="12" t="s">
        <v>232</v>
      </c>
      <c r="X130" s="15" t="s">
        <v>586</v>
      </c>
    </row>
    <row r="131" spans="2:24" ht="20.100000000000001" customHeight="1" x14ac:dyDescent="0.2">
      <c r="B131" s="13"/>
      <c r="C131" s="13"/>
      <c r="D131" s="38">
        <v>44911</v>
      </c>
      <c r="E131" s="13"/>
      <c r="F131" s="13"/>
      <c r="G131" s="13"/>
      <c r="H131" s="12" t="s">
        <v>605</v>
      </c>
      <c r="I131" s="12" t="s">
        <v>656</v>
      </c>
      <c r="J131" s="13"/>
      <c r="K131" s="5" t="s">
        <v>624</v>
      </c>
      <c r="L131" s="15" t="s">
        <v>749</v>
      </c>
      <c r="M131" s="15" t="s">
        <v>738</v>
      </c>
      <c r="N131" s="12" t="s">
        <v>46</v>
      </c>
      <c r="O131" s="13">
        <v>0</v>
      </c>
      <c r="P131" s="13"/>
      <c r="Q131" s="14" t="s">
        <v>457</v>
      </c>
      <c r="R131" s="12" t="s">
        <v>46</v>
      </c>
      <c r="S131" s="12"/>
      <c r="T131" s="12"/>
      <c r="U131" s="10">
        <v>1</v>
      </c>
      <c r="V131" s="12" t="s">
        <v>6</v>
      </c>
      <c r="W131" s="12" t="s">
        <v>232</v>
      </c>
      <c r="X131" s="15" t="s">
        <v>586</v>
      </c>
    </row>
    <row r="132" spans="2:24" ht="20.100000000000001" customHeight="1" x14ac:dyDescent="0.2">
      <c r="B132" s="13"/>
      <c r="C132" s="13"/>
      <c r="D132" s="38">
        <v>44914</v>
      </c>
      <c r="E132" s="13"/>
      <c r="F132" s="13"/>
      <c r="G132" s="13"/>
      <c r="H132" s="12" t="s">
        <v>26</v>
      </c>
      <c r="I132" s="12" t="s">
        <v>26</v>
      </c>
      <c r="J132" s="13"/>
      <c r="K132" s="3" t="s">
        <v>46</v>
      </c>
      <c r="L132" s="15" t="s">
        <v>702</v>
      </c>
      <c r="M132" s="15" t="s">
        <v>684</v>
      </c>
      <c r="N132" s="12" t="s">
        <v>46</v>
      </c>
      <c r="O132" s="13">
        <v>0</v>
      </c>
      <c r="P132" s="13"/>
      <c r="Q132" s="14" t="s">
        <v>184</v>
      </c>
      <c r="R132" s="16" t="s">
        <v>46</v>
      </c>
      <c r="S132" s="12"/>
      <c r="T132" s="12"/>
      <c r="U132" s="10">
        <v>205</v>
      </c>
      <c r="V132" s="12" t="s">
        <v>186</v>
      </c>
      <c r="W132" s="12" t="s">
        <v>55</v>
      </c>
      <c r="X132" s="15" t="s">
        <v>587</v>
      </c>
    </row>
    <row r="133" spans="2:24" ht="20.100000000000001" customHeight="1" x14ac:dyDescent="0.2">
      <c r="B133" s="13"/>
      <c r="C133" s="13"/>
      <c r="D133" s="38">
        <v>44914</v>
      </c>
      <c r="E133" s="13"/>
      <c r="F133" s="13"/>
      <c r="G133" s="13"/>
      <c r="H133" s="12" t="s">
        <v>605</v>
      </c>
      <c r="I133" s="12" t="s">
        <v>23</v>
      </c>
      <c r="J133" s="13"/>
      <c r="K133" s="3" t="s">
        <v>624</v>
      </c>
      <c r="L133" s="15" t="s">
        <v>712</v>
      </c>
      <c r="M133" s="15" t="s">
        <v>750</v>
      </c>
      <c r="N133" s="12" t="s">
        <v>46</v>
      </c>
      <c r="O133" s="13">
        <v>0</v>
      </c>
      <c r="P133" s="13"/>
      <c r="Q133" s="14" t="s">
        <v>458</v>
      </c>
      <c r="R133" s="12" t="s">
        <v>488</v>
      </c>
      <c r="S133" s="12"/>
      <c r="T133" s="12"/>
      <c r="U133" s="10">
        <v>2</v>
      </c>
      <c r="V133" s="12" t="s">
        <v>6</v>
      </c>
      <c r="W133" s="12" t="s">
        <v>55</v>
      </c>
      <c r="X133" s="15" t="s">
        <v>588</v>
      </c>
    </row>
    <row r="134" spans="2:24" ht="20.100000000000001" customHeight="1" x14ac:dyDescent="0.2">
      <c r="B134" s="13"/>
      <c r="C134" s="13"/>
      <c r="D134" s="38">
        <v>44914</v>
      </c>
      <c r="E134" s="13"/>
      <c r="F134" s="13"/>
      <c r="G134" s="13"/>
      <c r="H134" s="12" t="s">
        <v>605</v>
      </c>
      <c r="I134" s="12" t="s">
        <v>23</v>
      </c>
      <c r="J134" s="13"/>
      <c r="K134" s="28" t="s">
        <v>601</v>
      </c>
      <c r="L134" s="15" t="s">
        <v>602</v>
      </c>
      <c r="M134" s="15" t="s">
        <v>751</v>
      </c>
      <c r="N134" s="12" t="s">
        <v>46</v>
      </c>
      <c r="O134" s="13">
        <v>0</v>
      </c>
      <c r="P134" s="13"/>
      <c r="Q134" s="14" t="s">
        <v>446</v>
      </c>
      <c r="R134" s="12" t="s">
        <v>46</v>
      </c>
      <c r="S134" s="12"/>
      <c r="T134" s="12"/>
      <c r="U134" s="10">
        <v>1</v>
      </c>
      <c r="V134" s="12" t="s">
        <v>387</v>
      </c>
      <c r="W134" s="12" t="s">
        <v>55</v>
      </c>
      <c r="X134" s="15" t="s">
        <v>589</v>
      </c>
    </row>
    <row r="135" spans="2:24" ht="20.100000000000001" customHeight="1" x14ac:dyDescent="0.2">
      <c r="B135" s="13"/>
      <c r="C135" s="13"/>
      <c r="D135" s="38">
        <v>44914</v>
      </c>
      <c r="E135" s="13"/>
      <c r="F135" s="13"/>
      <c r="G135" s="13"/>
      <c r="H135" s="12" t="s">
        <v>605</v>
      </c>
      <c r="I135" s="12" t="s">
        <v>663</v>
      </c>
      <c r="J135" s="13"/>
      <c r="K135" s="3" t="s">
        <v>604</v>
      </c>
      <c r="L135" s="15" t="s">
        <v>607</v>
      </c>
      <c r="M135" s="15" t="s">
        <v>752</v>
      </c>
      <c r="N135" s="12" t="s">
        <v>46</v>
      </c>
      <c r="O135" s="13">
        <v>0</v>
      </c>
      <c r="P135" s="13"/>
      <c r="Q135" s="13" t="s">
        <v>833</v>
      </c>
      <c r="R135" s="12" t="s">
        <v>46</v>
      </c>
      <c r="S135" s="12" t="s">
        <v>408</v>
      </c>
      <c r="T135" s="12"/>
      <c r="U135" s="10">
        <v>7</v>
      </c>
      <c r="V135" s="12" t="s">
        <v>186</v>
      </c>
      <c r="W135" s="12" t="s">
        <v>55</v>
      </c>
      <c r="X135" s="15" t="s">
        <v>590</v>
      </c>
    </row>
    <row r="136" spans="2:24" ht="20.100000000000001" customHeight="1" x14ac:dyDescent="0.2">
      <c r="B136" s="13"/>
      <c r="C136" s="13"/>
      <c r="D136" s="38">
        <v>44915</v>
      </c>
      <c r="E136" s="13"/>
      <c r="F136" s="13"/>
      <c r="G136" s="13"/>
      <c r="H136" s="12" t="s">
        <v>605</v>
      </c>
      <c r="I136" s="12" t="s">
        <v>656</v>
      </c>
      <c r="J136" s="13"/>
      <c r="K136" s="3" t="s">
        <v>624</v>
      </c>
      <c r="L136" s="15" t="s">
        <v>728</v>
      </c>
      <c r="M136" s="15" t="s">
        <v>729</v>
      </c>
      <c r="N136" s="12" t="s">
        <v>46</v>
      </c>
      <c r="O136" s="13">
        <v>0</v>
      </c>
      <c r="P136" s="13"/>
      <c r="Q136" s="14" t="s">
        <v>459</v>
      </c>
      <c r="R136" s="12" t="s">
        <v>489</v>
      </c>
      <c r="S136" s="12"/>
      <c r="T136" s="12"/>
      <c r="U136" s="10">
        <v>2</v>
      </c>
      <c r="V136" s="12" t="s">
        <v>6</v>
      </c>
      <c r="W136" s="12" t="s">
        <v>55</v>
      </c>
      <c r="X136" s="15" t="s">
        <v>591</v>
      </c>
    </row>
    <row r="137" spans="2:24" ht="20.100000000000001" customHeight="1" x14ac:dyDescent="0.2">
      <c r="B137" s="13"/>
      <c r="C137" s="13"/>
      <c r="D137" s="38">
        <v>44915</v>
      </c>
      <c r="E137" s="13"/>
      <c r="F137" s="13"/>
      <c r="G137" s="13"/>
      <c r="H137" s="12" t="s">
        <v>605</v>
      </c>
      <c r="I137" s="12" t="s">
        <v>606</v>
      </c>
      <c r="J137" s="13"/>
      <c r="K137" s="3" t="s">
        <v>624</v>
      </c>
      <c r="L137" s="15" t="s">
        <v>754</v>
      </c>
      <c r="M137" s="15" t="s">
        <v>755</v>
      </c>
      <c r="N137" s="12" t="s">
        <v>46</v>
      </c>
      <c r="O137" s="13">
        <v>0</v>
      </c>
      <c r="P137" s="13"/>
      <c r="Q137" s="14" t="s">
        <v>315</v>
      </c>
      <c r="R137" s="12" t="s">
        <v>46</v>
      </c>
      <c r="S137" s="12" t="s">
        <v>316</v>
      </c>
      <c r="T137" s="12"/>
      <c r="U137" s="10">
        <v>1</v>
      </c>
      <c r="V137" s="12" t="s">
        <v>6</v>
      </c>
      <c r="W137" s="12" t="s">
        <v>55</v>
      </c>
      <c r="X137" s="15" t="s">
        <v>753</v>
      </c>
    </row>
    <row r="138" spans="2:24" ht="20.100000000000001" customHeight="1" x14ac:dyDescent="0.2">
      <c r="B138" s="13"/>
      <c r="C138" s="13"/>
      <c r="D138" s="38">
        <v>44915</v>
      </c>
      <c r="E138" s="13"/>
      <c r="F138" s="13"/>
      <c r="G138" s="13"/>
      <c r="H138" s="12" t="s">
        <v>605</v>
      </c>
      <c r="I138" s="12" t="s">
        <v>23</v>
      </c>
      <c r="J138" s="13"/>
      <c r="K138" s="3" t="s">
        <v>613</v>
      </c>
      <c r="L138" s="15" t="s">
        <v>756</v>
      </c>
      <c r="M138" s="15" t="s">
        <v>757</v>
      </c>
      <c r="N138" s="12" t="s">
        <v>46</v>
      </c>
      <c r="O138" s="13">
        <v>0</v>
      </c>
      <c r="P138" s="13"/>
      <c r="Q138" s="14" t="s">
        <v>833</v>
      </c>
      <c r="R138" s="12" t="s">
        <v>46</v>
      </c>
      <c r="S138" s="12" t="s">
        <v>408</v>
      </c>
      <c r="T138" s="12"/>
      <c r="U138" s="10">
        <v>2</v>
      </c>
      <c r="V138" s="12" t="s">
        <v>186</v>
      </c>
      <c r="W138" s="12" t="s">
        <v>55</v>
      </c>
      <c r="X138" s="15" t="s">
        <v>592</v>
      </c>
    </row>
    <row r="139" spans="2:24" ht="20.100000000000001" customHeight="1" x14ac:dyDescent="0.2">
      <c r="B139" s="13"/>
      <c r="C139" s="13"/>
      <c r="D139" s="38">
        <v>44916</v>
      </c>
      <c r="E139" s="13"/>
      <c r="F139" s="13"/>
      <c r="G139" s="13"/>
      <c r="H139" s="12" t="s">
        <v>605</v>
      </c>
      <c r="I139" s="12" t="s">
        <v>23</v>
      </c>
      <c r="J139" s="13"/>
      <c r="K139" s="28" t="s">
        <v>601</v>
      </c>
      <c r="L139" s="15" t="s">
        <v>758</v>
      </c>
      <c r="M139" s="15" t="s">
        <v>759</v>
      </c>
      <c r="N139" s="12" t="s">
        <v>46</v>
      </c>
      <c r="O139" s="13">
        <v>0</v>
      </c>
      <c r="P139" s="13"/>
      <c r="Q139" s="14" t="s">
        <v>123</v>
      </c>
      <c r="R139" s="12" t="s">
        <v>46</v>
      </c>
      <c r="S139" s="12" t="s">
        <v>124</v>
      </c>
      <c r="T139" s="12"/>
      <c r="U139" s="10">
        <v>1</v>
      </c>
      <c r="V139" s="12" t="s">
        <v>6</v>
      </c>
      <c r="W139" s="12" t="s">
        <v>55</v>
      </c>
      <c r="X139" s="15" t="s">
        <v>593</v>
      </c>
    </row>
    <row r="140" spans="2:24" ht="20.100000000000001" customHeight="1" x14ac:dyDescent="0.2">
      <c r="B140" s="13"/>
      <c r="C140" s="13"/>
      <c r="D140" s="38">
        <v>44916</v>
      </c>
      <c r="E140" s="13"/>
      <c r="F140" s="13"/>
      <c r="G140" s="13"/>
      <c r="H140" s="12" t="s">
        <v>605</v>
      </c>
      <c r="I140" s="12" t="s">
        <v>23</v>
      </c>
      <c r="J140" s="13"/>
      <c r="K140" s="28" t="s">
        <v>601</v>
      </c>
      <c r="L140" s="15" t="s">
        <v>758</v>
      </c>
      <c r="M140" s="15" t="s">
        <v>759</v>
      </c>
      <c r="N140" s="12" t="s">
        <v>46</v>
      </c>
      <c r="O140" s="13">
        <v>0</v>
      </c>
      <c r="P140" s="13"/>
      <c r="Q140" s="14" t="s">
        <v>128</v>
      </c>
      <c r="R140" s="12" t="s">
        <v>46</v>
      </c>
      <c r="S140" s="12" t="s">
        <v>114</v>
      </c>
      <c r="T140" s="12"/>
      <c r="U140" s="10">
        <v>1</v>
      </c>
      <c r="V140" s="12" t="s">
        <v>6</v>
      </c>
      <c r="W140" s="12" t="s">
        <v>55</v>
      </c>
      <c r="X140" s="15" t="s">
        <v>593</v>
      </c>
    </row>
    <row r="141" spans="2:24" ht="20.100000000000001" customHeight="1" x14ac:dyDescent="0.2">
      <c r="B141" s="13"/>
      <c r="C141" s="13"/>
      <c r="D141" s="38">
        <v>44916</v>
      </c>
      <c r="E141" s="13"/>
      <c r="F141" s="13"/>
      <c r="G141" s="13"/>
      <c r="H141" s="12" t="s">
        <v>605</v>
      </c>
      <c r="I141" s="12" t="s">
        <v>23</v>
      </c>
      <c r="J141" s="13"/>
      <c r="K141" s="28" t="s">
        <v>601</v>
      </c>
      <c r="L141" s="15" t="s">
        <v>758</v>
      </c>
      <c r="M141" s="15" t="s">
        <v>759</v>
      </c>
      <c r="N141" s="12" t="s">
        <v>46</v>
      </c>
      <c r="O141" s="13">
        <v>0</v>
      </c>
      <c r="P141" s="13"/>
      <c r="Q141" s="14" t="s">
        <v>129</v>
      </c>
      <c r="R141" s="12" t="s">
        <v>46</v>
      </c>
      <c r="S141" s="12" t="s">
        <v>114</v>
      </c>
      <c r="T141" s="12"/>
      <c r="U141" s="10">
        <v>1</v>
      </c>
      <c r="V141" s="12" t="s">
        <v>6</v>
      </c>
      <c r="W141" s="12" t="s">
        <v>55</v>
      </c>
      <c r="X141" s="15" t="s">
        <v>593</v>
      </c>
    </row>
    <row r="142" spans="2:24" ht="20.100000000000001" customHeight="1" x14ac:dyDescent="0.2">
      <c r="B142" s="13"/>
      <c r="C142" s="13"/>
      <c r="D142" s="38">
        <v>44916</v>
      </c>
      <c r="E142" s="13"/>
      <c r="F142" s="13"/>
      <c r="G142" s="13"/>
      <c r="H142" s="12" t="s">
        <v>605</v>
      </c>
      <c r="I142" s="12" t="s">
        <v>23</v>
      </c>
      <c r="J142" s="13"/>
      <c r="K142" s="28" t="s">
        <v>601</v>
      </c>
      <c r="L142" s="15" t="s">
        <v>758</v>
      </c>
      <c r="M142" s="15" t="s">
        <v>759</v>
      </c>
      <c r="N142" s="12" t="s">
        <v>46</v>
      </c>
      <c r="O142" s="13">
        <v>0</v>
      </c>
      <c r="P142" s="13"/>
      <c r="Q142" s="14" t="s">
        <v>130</v>
      </c>
      <c r="R142" s="12" t="s">
        <v>46</v>
      </c>
      <c r="S142" s="12" t="s">
        <v>131</v>
      </c>
      <c r="T142" s="12"/>
      <c r="U142" s="10">
        <v>1</v>
      </c>
      <c r="V142" s="12" t="s">
        <v>6</v>
      </c>
      <c r="W142" s="12" t="s">
        <v>55</v>
      </c>
      <c r="X142" s="15" t="s">
        <v>593</v>
      </c>
    </row>
    <row r="143" spans="2:24" ht="20.100000000000001" customHeight="1" x14ac:dyDescent="0.2">
      <c r="B143" s="13"/>
      <c r="C143" s="13"/>
      <c r="D143" s="38">
        <v>44916</v>
      </c>
      <c r="E143" s="13"/>
      <c r="F143" s="13"/>
      <c r="G143" s="13"/>
      <c r="H143" s="12" t="s">
        <v>605</v>
      </c>
      <c r="I143" s="12" t="s">
        <v>23</v>
      </c>
      <c r="J143" s="13"/>
      <c r="K143" s="28" t="s">
        <v>601</v>
      </c>
      <c r="L143" s="15" t="s">
        <v>758</v>
      </c>
      <c r="M143" s="15" t="s">
        <v>759</v>
      </c>
      <c r="N143" s="12" t="s">
        <v>46</v>
      </c>
      <c r="O143" s="13">
        <v>0</v>
      </c>
      <c r="P143" s="13"/>
      <c r="Q143" s="14" t="s">
        <v>135</v>
      </c>
      <c r="R143" s="12" t="s">
        <v>46</v>
      </c>
      <c r="S143" s="12" t="s">
        <v>136</v>
      </c>
      <c r="T143" s="12"/>
      <c r="U143" s="10">
        <v>1</v>
      </c>
      <c r="V143" s="12" t="s">
        <v>6</v>
      </c>
      <c r="W143" s="12" t="s">
        <v>55</v>
      </c>
      <c r="X143" s="15" t="s">
        <v>593</v>
      </c>
    </row>
    <row r="144" spans="2:24" ht="20.100000000000001" customHeight="1" x14ac:dyDescent="0.2">
      <c r="B144" s="13"/>
      <c r="C144" s="13"/>
      <c r="D144" s="38">
        <v>44916</v>
      </c>
      <c r="E144" s="13"/>
      <c r="F144" s="13"/>
      <c r="G144" s="13"/>
      <c r="H144" s="12" t="s">
        <v>605</v>
      </c>
      <c r="I144" s="12" t="s">
        <v>23</v>
      </c>
      <c r="J144" s="13"/>
      <c r="K144" s="28" t="s">
        <v>601</v>
      </c>
      <c r="L144" s="15" t="s">
        <v>758</v>
      </c>
      <c r="M144" s="15" t="s">
        <v>759</v>
      </c>
      <c r="N144" s="12" t="s">
        <v>46</v>
      </c>
      <c r="O144" s="13">
        <v>0</v>
      </c>
      <c r="P144" s="13"/>
      <c r="Q144" s="14" t="s">
        <v>760</v>
      </c>
      <c r="R144" s="12" t="s">
        <v>46</v>
      </c>
      <c r="S144" s="12" t="s">
        <v>124</v>
      </c>
      <c r="T144" s="12"/>
      <c r="U144" s="10">
        <v>1</v>
      </c>
      <c r="V144" s="12" t="s">
        <v>491</v>
      </c>
      <c r="W144" s="12" t="s">
        <v>55</v>
      </c>
      <c r="X144" s="15" t="s">
        <v>593</v>
      </c>
    </row>
    <row r="145" spans="2:24" ht="20.100000000000001" customHeight="1" x14ac:dyDescent="0.2">
      <c r="B145" s="13"/>
      <c r="C145" s="13"/>
      <c r="D145" s="38">
        <v>44916</v>
      </c>
      <c r="E145" s="13"/>
      <c r="F145" s="13"/>
      <c r="G145" s="13"/>
      <c r="H145" s="12" t="s">
        <v>605</v>
      </c>
      <c r="I145" s="12" t="s">
        <v>23</v>
      </c>
      <c r="J145" s="13"/>
      <c r="K145" s="28" t="s">
        <v>601</v>
      </c>
      <c r="L145" s="15" t="s">
        <v>758</v>
      </c>
      <c r="M145" s="15" t="s">
        <v>759</v>
      </c>
      <c r="N145" s="12" t="s">
        <v>46</v>
      </c>
      <c r="O145" s="13">
        <v>0</v>
      </c>
      <c r="P145" s="13"/>
      <c r="Q145" s="14" t="s">
        <v>140</v>
      </c>
      <c r="R145" s="12" t="s">
        <v>46</v>
      </c>
      <c r="S145" s="12" t="s">
        <v>134</v>
      </c>
      <c r="T145" s="12"/>
      <c r="U145" s="10">
        <v>1</v>
      </c>
      <c r="V145" s="12" t="s">
        <v>6</v>
      </c>
      <c r="W145" s="12" t="s">
        <v>55</v>
      </c>
      <c r="X145" s="15" t="s">
        <v>593</v>
      </c>
    </row>
    <row r="146" spans="2:24" ht="20.100000000000001" customHeight="1" x14ac:dyDescent="0.2">
      <c r="B146" s="13"/>
      <c r="C146" s="13"/>
      <c r="D146" s="38">
        <v>44916</v>
      </c>
      <c r="E146" s="13"/>
      <c r="F146" s="13"/>
      <c r="G146" s="13"/>
      <c r="H146" s="12" t="s">
        <v>605</v>
      </c>
      <c r="I146" s="12" t="s">
        <v>23</v>
      </c>
      <c r="J146" s="13"/>
      <c r="K146" s="28" t="s">
        <v>601</v>
      </c>
      <c r="L146" s="15" t="s">
        <v>758</v>
      </c>
      <c r="M146" s="15" t="s">
        <v>759</v>
      </c>
      <c r="N146" s="12" t="s">
        <v>46</v>
      </c>
      <c r="O146" s="13">
        <v>0</v>
      </c>
      <c r="P146" s="13"/>
      <c r="Q146" s="14" t="s">
        <v>142</v>
      </c>
      <c r="R146" s="12" t="s">
        <v>46</v>
      </c>
      <c r="S146" s="12" t="s">
        <v>114</v>
      </c>
      <c r="T146" s="12"/>
      <c r="U146" s="10">
        <v>1</v>
      </c>
      <c r="V146" s="12" t="s">
        <v>6</v>
      </c>
      <c r="W146" s="12" t="s">
        <v>55</v>
      </c>
      <c r="X146" s="15" t="s">
        <v>593</v>
      </c>
    </row>
    <row r="147" spans="2:24" ht="20.100000000000001" customHeight="1" x14ac:dyDescent="0.2">
      <c r="B147" s="13"/>
      <c r="C147" s="13"/>
      <c r="D147" s="38">
        <v>44916</v>
      </c>
      <c r="E147" s="13"/>
      <c r="F147" s="13"/>
      <c r="G147" s="13"/>
      <c r="H147" s="12" t="s">
        <v>605</v>
      </c>
      <c r="I147" s="12" t="s">
        <v>23</v>
      </c>
      <c r="J147" s="13"/>
      <c r="K147" s="28" t="s">
        <v>601</v>
      </c>
      <c r="L147" s="15" t="s">
        <v>758</v>
      </c>
      <c r="M147" s="15" t="s">
        <v>759</v>
      </c>
      <c r="N147" s="12" t="s">
        <v>46</v>
      </c>
      <c r="O147" s="13">
        <v>0</v>
      </c>
      <c r="P147" s="13"/>
      <c r="Q147" s="14" t="s">
        <v>144</v>
      </c>
      <c r="R147" s="12" t="s">
        <v>46</v>
      </c>
      <c r="S147" s="12" t="s">
        <v>145</v>
      </c>
      <c r="T147" s="12"/>
      <c r="U147" s="10">
        <v>1</v>
      </c>
      <c r="V147" s="12" t="s">
        <v>6</v>
      </c>
      <c r="W147" s="12" t="s">
        <v>55</v>
      </c>
      <c r="X147" s="15" t="s">
        <v>593</v>
      </c>
    </row>
    <row r="148" spans="2:24" ht="20.100000000000001" customHeight="1" x14ac:dyDescent="0.2">
      <c r="B148" s="13"/>
      <c r="C148" s="13"/>
      <c r="D148" s="38">
        <v>44916</v>
      </c>
      <c r="E148" s="13"/>
      <c r="F148" s="13"/>
      <c r="G148" s="13"/>
      <c r="H148" s="12" t="s">
        <v>605</v>
      </c>
      <c r="I148" s="12" t="s">
        <v>23</v>
      </c>
      <c r="J148" s="13"/>
      <c r="K148" s="28" t="s">
        <v>601</v>
      </c>
      <c r="L148" s="15" t="s">
        <v>758</v>
      </c>
      <c r="M148" s="15" t="s">
        <v>759</v>
      </c>
      <c r="N148" s="12" t="s">
        <v>46</v>
      </c>
      <c r="O148" s="13">
        <v>0</v>
      </c>
      <c r="P148" s="13"/>
      <c r="Q148" s="14" t="s">
        <v>148</v>
      </c>
      <c r="R148" s="12" t="s">
        <v>46</v>
      </c>
      <c r="S148" s="12" t="s">
        <v>134</v>
      </c>
      <c r="T148" s="12"/>
      <c r="U148" s="10">
        <v>1</v>
      </c>
      <c r="V148" s="12" t="s">
        <v>6</v>
      </c>
      <c r="W148" s="12" t="s">
        <v>55</v>
      </c>
      <c r="X148" s="15" t="s">
        <v>593</v>
      </c>
    </row>
    <row r="149" spans="2:24" ht="20.100000000000001" customHeight="1" x14ac:dyDescent="0.2">
      <c r="B149" s="13"/>
      <c r="C149" s="13"/>
      <c r="D149" s="38">
        <v>44916</v>
      </c>
      <c r="E149" s="13"/>
      <c r="F149" s="13"/>
      <c r="G149" s="13"/>
      <c r="H149" s="12" t="s">
        <v>605</v>
      </c>
      <c r="I149" s="12" t="s">
        <v>23</v>
      </c>
      <c r="J149" s="13"/>
      <c r="K149" s="28" t="s">
        <v>601</v>
      </c>
      <c r="L149" s="15" t="s">
        <v>758</v>
      </c>
      <c r="M149" s="15" t="s">
        <v>759</v>
      </c>
      <c r="N149" s="12" t="s">
        <v>46</v>
      </c>
      <c r="O149" s="13">
        <v>0</v>
      </c>
      <c r="P149" s="13"/>
      <c r="Q149" s="14" t="s">
        <v>155</v>
      </c>
      <c r="R149" s="12" t="s">
        <v>46</v>
      </c>
      <c r="S149" s="12" t="s">
        <v>497</v>
      </c>
      <c r="T149" s="12"/>
      <c r="U149" s="10">
        <v>1</v>
      </c>
      <c r="V149" s="12" t="s">
        <v>6</v>
      </c>
      <c r="W149" s="12" t="s">
        <v>55</v>
      </c>
      <c r="X149" s="15" t="s">
        <v>593</v>
      </c>
    </row>
    <row r="150" spans="2:24" ht="20.100000000000001" customHeight="1" x14ac:dyDescent="0.2">
      <c r="B150" s="13"/>
      <c r="C150" s="13"/>
      <c r="D150" s="38">
        <v>44916</v>
      </c>
      <c r="E150" s="13"/>
      <c r="F150" s="13"/>
      <c r="G150" s="13"/>
      <c r="H150" s="12" t="s">
        <v>605</v>
      </c>
      <c r="I150" s="12" t="s">
        <v>23</v>
      </c>
      <c r="J150" s="13"/>
      <c r="K150" s="28" t="s">
        <v>601</v>
      </c>
      <c r="L150" s="15" t="s">
        <v>758</v>
      </c>
      <c r="M150" s="15" t="s">
        <v>759</v>
      </c>
      <c r="N150" s="12" t="s">
        <v>46</v>
      </c>
      <c r="O150" s="13">
        <v>0</v>
      </c>
      <c r="P150" s="13"/>
      <c r="Q150" s="14" t="s">
        <v>150</v>
      </c>
      <c r="R150" s="12" t="s">
        <v>46</v>
      </c>
      <c r="S150" s="12" t="s">
        <v>114</v>
      </c>
      <c r="T150" s="12"/>
      <c r="U150" s="10">
        <v>1</v>
      </c>
      <c r="V150" s="12" t="s">
        <v>491</v>
      </c>
      <c r="W150" s="12" t="s">
        <v>55</v>
      </c>
      <c r="X150" s="15" t="s">
        <v>593</v>
      </c>
    </row>
    <row r="151" spans="2:24" ht="20.100000000000001" customHeight="1" x14ac:dyDescent="0.2">
      <c r="B151" s="13"/>
      <c r="C151" s="13"/>
      <c r="D151" s="38">
        <v>44916</v>
      </c>
      <c r="E151" s="13"/>
      <c r="F151" s="13"/>
      <c r="G151" s="13"/>
      <c r="H151" s="12" t="s">
        <v>605</v>
      </c>
      <c r="I151" s="12" t="s">
        <v>23</v>
      </c>
      <c r="J151" s="13"/>
      <c r="K151" s="28" t="s">
        <v>601</v>
      </c>
      <c r="L151" s="15" t="s">
        <v>758</v>
      </c>
      <c r="M151" s="15" t="s">
        <v>759</v>
      </c>
      <c r="N151" s="12" t="s">
        <v>46</v>
      </c>
      <c r="O151" s="13">
        <v>0</v>
      </c>
      <c r="P151" s="13"/>
      <c r="Q151" s="14" t="s">
        <v>157</v>
      </c>
      <c r="R151" s="12" t="s">
        <v>46</v>
      </c>
      <c r="S151" s="12" t="s">
        <v>498</v>
      </c>
      <c r="T151" s="12"/>
      <c r="U151" s="10">
        <v>1</v>
      </c>
      <c r="V151" s="12" t="s">
        <v>6</v>
      </c>
      <c r="W151" s="12" t="s">
        <v>55</v>
      </c>
      <c r="X151" s="15" t="s">
        <v>593</v>
      </c>
    </row>
    <row r="152" spans="2:24" ht="20.100000000000001" customHeight="1" x14ac:dyDescent="0.2">
      <c r="B152" s="13"/>
      <c r="C152" s="13"/>
      <c r="D152" s="38">
        <v>44916</v>
      </c>
      <c r="E152" s="13"/>
      <c r="F152" s="13"/>
      <c r="G152" s="13"/>
      <c r="H152" s="12" t="s">
        <v>605</v>
      </c>
      <c r="I152" s="12" t="s">
        <v>23</v>
      </c>
      <c r="J152" s="13"/>
      <c r="K152" s="28" t="s">
        <v>601</v>
      </c>
      <c r="L152" s="15" t="s">
        <v>758</v>
      </c>
      <c r="M152" s="15" t="s">
        <v>759</v>
      </c>
      <c r="N152" s="12" t="s">
        <v>46</v>
      </c>
      <c r="O152" s="13">
        <v>0</v>
      </c>
      <c r="P152" s="13"/>
      <c r="Q152" s="14" t="s">
        <v>111</v>
      </c>
      <c r="R152" s="12" t="s">
        <v>46</v>
      </c>
      <c r="S152" s="12" t="s">
        <v>499</v>
      </c>
      <c r="T152" s="12"/>
      <c r="U152" s="10">
        <v>1</v>
      </c>
      <c r="V152" s="12" t="s">
        <v>6</v>
      </c>
      <c r="W152" s="12" t="s">
        <v>55</v>
      </c>
      <c r="X152" s="15" t="s">
        <v>593</v>
      </c>
    </row>
    <row r="153" spans="2:24" ht="20.100000000000001" customHeight="1" x14ac:dyDescent="0.2">
      <c r="B153" s="13"/>
      <c r="C153" s="13"/>
      <c r="D153" s="38">
        <v>44916</v>
      </c>
      <c r="E153" s="13"/>
      <c r="F153" s="13"/>
      <c r="G153" s="13"/>
      <c r="H153" s="12" t="s">
        <v>605</v>
      </c>
      <c r="I153" s="12" t="s">
        <v>23</v>
      </c>
      <c r="J153" s="13"/>
      <c r="K153" s="28" t="s">
        <v>601</v>
      </c>
      <c r="L153" s="15" t="s">
        <v>758</v>
      </c>
      <c r="M153" s="15" t="s">
        <v>759</v>
      </c>
      <c r="N153" s="12" t="s">
        <v>46</v>
      </c>
      <c r="O153" s="13">
        <v>0</v>
      </c>
      <c r="P153" s="13"/>
      <c r="Q153" s="14" t="s">
        <v>113</v>
      </c>
      <c r="R153" s="12" t="s">
        <v>46</v>
      </c>
      <c r="S153" s="12" t="s">
        <v>114</v>
      </c>
      <c r="T153" s="12"/>
      <c r="U153" s="10">
        <v>1</v>
      </c>
      <c r="V153" s="12" t="s">
        <v>491</v>
      </c>
      <c r="W153" s="12" t="s">
        <v>55</v>
      </c>
      <c r="X153" s="15" t="s">
        <v>593</v>
      </c>
    </row>
    <row r="154" spans="2:24" ht="20.100000000000001" customHeight="1" x14ac:dyDescent="0.2">
      <c r="B154" s="13"/>
      <c r="C154" s="13"/>
      <c r="D154" s="38">
        <v>44916</v>
      </c>
      <c r="E154" s="13"/>
      <c r="F154" s="13"/>
      <c r="G154" s="13"/>
      <c r="H154" s="12" t="s">
        <v>605</v>
      </c>
      <c r="I154" s="12" t="s">
        <v>23</v>
      </c>
      <c r="J154" s="13"/>
      <c r="K154" s="28" t="s">
        <v>601</v>
      </c>
      <c r="L154" s="15" t="s">
        <v>758</v>
      </c>
      <c r="M154" s="15" t="s">
        <v>759</v>
      </c>
      <c r="N154" s="12" t="s">
        <v>46</v>
      </c>
      <c r="O154" s="13">
        <v>0</v>
      </c>
      <c r="P154" s="13"/>
      <c r="Q154" s="14" t="s">
        <v>115</v>
      </c>
      <c r="R154" s="12" t="s">
        <v>46</v>
      </c>
      <c r="S154" s="12" t="s">
        <v>114</v>
      </c>
      <c r="T154" s="12"/>
      <c r="U154" s="10">
        <v>1</v>
      </c>
      <c r="V154" s="12" t="s">
        <v>491</v>
      </c>
      <c r="W154" s="12" t="s">
        <v>55</v>
      </c>
      <c r="X154" s="15" t="s">
        <v>593</v>
      </c>
    </row>
    <row r="155" spans="2:24" ht="20.100000000000001" customHeight="1" x14ac:dyDescent="0.2">
      <c r="B155" s="13"/>
      <c r="C155" s="13"/>
      <c r="D155" s="38">
        <v>44916</v>
      </c>
      <c r="E155" s="13"/>
      <c r="F155" s="13"/>
      <c r="G155" s="13"/>
      <c r="H155" s="12" t="s">
        <v>605</v>
      </c>
      <c r="I155" s="12" t="s">
        <v>23</v>
      </c>
      <c r="J155" s="13"/>
      <c r="K155" s="28" t="s">
        <v>601</v>
      </c>
      <c r="L155" s="15" t="s">
        <v>758</v>
      </c>
      <c r="M155" s="15" t="s">
        <v>759</v>
      </c>
      <c r="N155" s="12" t="s">
        <v>46</v>
      </c>
      <c r="O155" s="13">
        <v>0</v>
      </c>
      <c r="P155" s="13"/>
      <c r="Q155" s="14" t="s">
        <v>118</v>
      </c>
      <c r="R155" s="12" t="s">
        <v>46</v>
      </c>
      <c r="S155" s="12" t="s">
        <v>114</v>
      </c>
      <c r="T155" s="12"/>
      <c r="U155" s="10">
        <v>1</v>
      </c>
      <c r="V155" s="12" t="s">
        <v>6</v>
      </c>
      <c r="W155" s="12" t="s">
        <v>55</v>
      </c>
      <c r="X155" s="15" t="s">
        <v>593</v>
      </c>
    </row>
    <row r="156" spans="2:24" ht="20.100000000000001" customHeight="1" x14ac:dyDescent="0.2">
      <c r="B156" s="13"/>
      <c r="C156" s="13"/>
      <c r="D156" s="38">
        <v>44916</v>
      </c>
      <c r="E156" s="13"/>
      <c r="F156" s="13"/>
      <c r="G156" s="13"/>
      <c r="H156" s="12" t="s">
        <v>605</v>
      </c>
      <c r="I156" s="12" t="s">
        <v>23</v>
      </c>
      <c r="J156" s="13"/>
      <c r="K156" s="28" t="s">
        <v>601</v>
      </c>
      <c r="L156" s="15" t="s">
        <v>758</v>
      </c>
      <c r="M156" s="15" t="s">
        <v>759</v>
      </c>
      <c r="N156" s="12" t="s">
        <v>46</v>
      </c>
      <c r="O156" s="13">
        <v>0</v>
      </c>
      <c r="P156" s="13"/>
      <c r="Q156" s="14" t="s">
        <v>133</v>
      </c>
      <c r="R156" s="12" t="s">
        <v>46</v>
      </c>
      <c r="S156" s="12" t="s">
        <v>134</v>
      </c>
      <c r="T156" s="12"/>
      <c r="U156" s="10">
        <v>1</v>
      </c>
      <c r="V156" s="12" t="s">
        <v>6</v>
      </c>
      <c r="W156" s="12" t="s">
        <v>55</v>
      </c>
      <c r="X156" s="15" t="s">
        <v>593</v>
      </c>
    </row>
    <row r="157" spans="2:24" ht="20.100000000000001" customHeight="1" x14ac:dyDescent="0.2">
      <c r="B157" s="13"/>
      <c r="C157" s="13"/>
      <c r="D157" s="38">
        <v>44916</v>
      </c>
      <c r="E157" s="13"/>
      <c r="F157" s="13"/>
      <c r="G157" s="13"/>
      <c r="H157" s="12" t="s">
        <v>605</v>
      </c>
      <c r="I157" s="12" t="s">
        <v>23</v>
      </c>
      <c r="J157" s="13"/>
      <c r="K157" s="28" t="s">
        <v>601</v>
      </c>
      <c r="L157" s="15" t="s">
        <v>758</v>
      </c>
      <c r="M157" s="15" t="s">
        <v>759</v>
      </c>
      <c r="N157" s="12" t="s">
        <v>46</v>
      </c>
      <c r="O157" s="13">
        <v>0</v>
      </c>
      <c r="P157" s="13"/>
      <c r="Q157" s="14" t="s">
        <v>324</v>
      </c>
      <c r="R157" s="12" t="s">
        <v>46</v>
      </c>
      <c r="S157" s="12" t="s">
        <v>307</v>
      </c>
      <c r="T157" s="12"/>
      <c r="U157" s="10">
        <v>1</v>
      </c>
      <c r="V157" s="12" t="s">
        <v>6</v>
      </c>
      <c r="W157" s="12" t="s">
        <v>55</v>
      </c>
      <c r="X157" s="15" t="s">
        <v>593</v>
      </c>
    </row>
    <row r="158" spans="2:24" ht="20.100000000000001" customHeight="1" x14ac:dyDescent="0.2">
      <c r="B158" s="13"/>
      <c r="C158" s="13"/>
      <c r="D158" s="38">
        <v>44916</v>
      </c>
      <c r="E158" s="13"/>
      <c r="F158" s="13"/>
      <c r="G158" s="13"/>
      <c r="H158" s="12" t="s">
        <v>605</v>
      </c>
      <c r="I158" s="12" t="s">
        <v>23</v>
      </c>
      <c r="J158" s="13"/>
      <c r="K158" s="28" t="s">
        <v>601</v>
      </c>
      <c r="L158" s="15" t="s">
        <v>758</v>
      </c>
      <c r="M158" s="15" t="s">
        <v>759</v>
      </c>
      <c r="N158" s="12" t="s">
        <v>46</v>
      </c>
      <c r="O158" s="13">
        <v>0</v>
      </c>
      <c r="P158" s="13"/>
      <c r="Q158" s="14" t="s">
        <v>323</v>
      </c>
      <c r="R158" s="12" t="s">
        <v>46</v>
      </c>
      <c r="S158" s="12" t="s">
        <v>307</v>
      </c>
      <c r="T158" s="12"/>
      <c r="U158" s="10">
        <v>1</v>
      </c>
      <c r="V158" s="12" t="s">
        <v>6</v>
      </c>
      <c r="W158" s="12" t="s">
        <v>55</v>
      </c>
      <c r="X158" s="15" t="s">
        <v>593</v>
      </c>
    </row>
    <row r="159" spans="2:24" ht="20.100000000000001" customHeight="1" x14ac:dyDescent="0.2">
      <c r="B159" s="13"/>
      <c r="C159" s="13"/>
      <c r="D159" s="38">
        <v>44916</v>
      </c>
      <c r="E159" s="13"/>
      <c r="F159" s="13"/>
      <c r="G159" s="13"/>
      <c r="H159" s="12" t="s">
        <v>605</v>
      </c>
      <c r="I159" s="12" t="s">
        <v>23</v>
      </c>
      <c r="J159" s="13"/>
      <c r="K159" s="28" t="s">
        <v>601</v>
      </c>
      <c r="L159" s="15" t="s">
        <v>758</v>
      </c>
      <c r="M159" s="15" t="s">
        <v>759</v>
      </c>
      <c r="N159" s="12" t="s">
        <v>46</v>
      </c>
      <c r="O159" s="13">
        <v>0</v>
      </c>
      <c r="P159" s="13"/>
      <c r="Q159" s="14" t="s">
        <v>322</v>
      </c>
      <c r="R159" s="12" t="s">
        <v>46</v>
      </c>
      <c r="S159" s="12" t="s">
        <v>307</v>
      </c>
      <c r="T159" s="12"/>
      <c r="U159" s="10">
        <v>1</v>
      </c>
      <c r="V159" s="12" t="s">
        <v>6</v>
      </c>
      <c r="W159" s="12" t="s">
        <v>55</v>
      </c>
      <c r="X159" s="15" t="s">
        <v>593</v>
      </c>
    </row>
    <row r="160" spans="2:24" ht="20.100000000000001" customHeight="1" x14ac:dyDescent="0.2">
      <c r="B160" s="13"/>
      <c r="C160" s="13"/>
      <c r="D160" s="38">
        <v>44916</v>
      </c>
      <c r="E160" s="13"/>
      <c r="F160" s="13"/>
      <c r="G160" s="13"/>
      <c r="H160" s="12" t="s">
        <v>605</v>
      </c>
      <c r="I160" s="12" t="s">
        <v>23</v>
      </c>
      <c r="J160" s="13"/>
      <c r="K160" s="28" t="s">
        <v>601</v>
      </c>
      <c r="L160" s="15" t="s">
        <v>758</v>
      </c>
      <c r="M160" s="15" t="s">
        <v>759</v>
      </c>
      <c r="N160" s="12" t="s">
        <v>46</v>
      </c>
      <c r="O160" s="13">
        <v>0</v>
      </c>
      <c r="P160" s="13"/>
      <c r="Q160" s="14" t="s">
        <v>368</v>
      </c>
      <c r="R160" s="12" t="s">
        <v>46</v>
      </c>
      <c r="S160" s="12" t="s">
        <v>330</v>
      </c>
      <c r="T160" s="12"/>
      <c r="U160" s="10">
        <v>1</v>
      </c>
      <c r="V160" s="12" t="s">
        <v>11</v>
      </c>
      <c r="W160" s="12" t="s">
        <v>55</v>
      </c>
      <c r="X160" s="15" t="s">
        <v>593</v>
      </c>
    </row>
    <row r="161" spans="2:24" ht="20.100000000000001" customHeight="1" x14ac:dyDescent="0.2">
      <c r="B161" s="13"/>
      <c r="C161" s="13"/>
      <c r="D161" s="38">
        <v>44916</v>
      </c>
      <c r="E161" s="13"/>
      <c r="F161" s="13"/>
      <c r="G161" s="13"/>
      <c r="H161" s="12" t="s">
        <v>605</v>
      </c>
      <c r="I161" s="12" t="s">
        <v>23</v>
      </c>
      <c r="J161" s="13"/>
      <c r="K161" s="28" t="s">
        <v>601</v>
      </c>
      <c r="L161" s="15" t="s">
        <v>758</v>
      </c>
      <c r="M161" s="15" t="s">
        <v>759</v>
      </c>
      <c r="N161" s="12" t="s">
        <v>46</v>
      </c>
      <c r="O161" s="13">
        <v>0</v>
      </c>
      <c r="P161" s="13"/>
      <c r="Q161" s="14" t="s">
        <v>460</v>
      </c>
      <c r="R161" s="12" t="s">
        <v>46</v>
      </c>
      <c r="S161" s="12"/>
      <c r="T161" s="12"/>
      <c r="U161" s="10">
        <v>1</v>
      </c>
      <c r="V161" s="12" t="s">
        <v>6</v>
      </c>
      <c r="W161" s="12" t="s">
        <v>55</v>
      </c>
      <c r="X161" s="15" t="s">
        <v>594</v>
      </c>
    </row>
    <row r="162" spans="2:24" ht="20.100000000000001" customHeight="1" x14ac:dyDescent="0.2">
      <c r="B162" s="13"/>
      <c r="C162" s="13"/>
      <c r="D162" s="38">
        <v>44916</v>
      </c>
      <c r="E162" s="13"/>
      <c r="F162" s="13"/>
      <c r="G162" s="13"/>
      <c r="H162" s="12" t="s">
        <v>605</v>
      </c>
      <c r="I162" s="12" t="s">
        <v>23</v>
      </c>
      <c r="J162" s="13"/>
      <c r="K162" s="28" t="s">
        <v>601</v>
      </c>
      <c r="L162" s="15" t="s">
        <v>761</v>
      </c>
      <c r="M162" s="15" t="s">
        <v>762</v>
      </c>
      <c r="N162" s="12" t="s">
        <v>46</v>
      </c>
      <c r="O162" s="13">
        <v>0</v>
      </c>
      <c r="P162" s="13"/>
      <c r="Q162" s="14" t="s">
        <v>461</v>
      </c>
      <c r="R162" s="12" t="s">
        <v>46</v>
      </c>
      <c r="S162" s="12"/>
      <c r="T162" s="12"/>
      <c r="U162" s="10">
        <v>20</v>
      </c>
      <c r="V162" s="12" t="s">
        <v>387</v>
      </c>
      <c r="W162" s="12" t="s">
        <v>55</v>
      </c>
      <c r="X162" s="15" t="s">
        <v>595</v>
      </c>
    </row>
    <row r="163" spans="2:24" ht="20.100000000000001" customHeight="1" x14ac:dyDescent="0.2">
      <c r="B163" s="13"/>
      <c r="C163" s="13"/>
      <c r="D163" s="38">
        <v>44918</v>
      </c>
      <c r="E163" s="13"/>
      <c r="F163" s="13"/>
      <c r="G163" s="13"/>
      <c r="H163" s="12" t="s">
        <v>605</v>
      </c>
      <c r="I163" s="12" t="s">
        <v>608</v>
      </c>
      <c r="J163" s="13"/>
      <c r="K163" s="28" t="s">
        <v>601</v>
      </c>
      <c r="L163" s="15" t="s">
        <v>677</v>
      </c>
      <c r="M163" s="15" t="s">
        <v>763</v>
      </c>
      <c r="N163" s="12" t="s">
        <v>46</v>
      </c>
      <c r="O163" s="13">
        <v>0</v>
      </c>
      <c r="P163" s="13"/>
      <c r="Q163" s="14" t="s">
        <v>462</v>
      </c>
      <c r="R163" s="12" t="s">
        <v>46</v>
      </c>
      <c r="S163" s="12" t="s">
        <v>500</v>
      </c>
      <c r="T163" s="12" t="s">
        <v>504</v>
      </c>
      <c r="U163" s="10">
        <v>1</v>
      </c>
      <c r="V163" s="12" t="s">
        <v>11</v>
      </c>
      <c r="W163" s="12" t="s">
        <v>232</v>
      </c>
      <c r="X163" s="15" t="s">
        <v>596</v>
      </c>
    </row>
    <row r="164" spans="2:24" ht="20.100000000000001" customHeight="1" x14ac:dyDescent="0.2">
      <c r="B164" s="13"/>
      <c r="C164" s="13"/>
      <c r="D164" s="38">
        <v>44918</v>
      </c>
      <c r="E164" s="13"/>
      <c r="F164" s="13"/>
      <c r="G164" s="13"/>
      <c r="H164" s="12" t="s">
        <v>605</v>
      </c>
      <c r="I164" s="12" t="s">
        <v>764</v>
      </c>
      <c r="J164" s="13"/>
      <c r="K164" s="3" t="s">
        <v>624</v>
      </c>
      <c r="L164" s="15" t="s">
        <v>765</v>
      </c>
      <c r="M164" s="15" t="s">
        <v>766</v>
      </c>
      <c r="N164" s="12" t="s">
        <v>46</v>
      </c>
      <c r="O164" s="13">
        <v>0</v>
      </c>
      <c r="P164" s="13"/>
      <c r="Q164" s="14" t="s">
        <v>463</v>
      </c>
      <c r="R164" s="12" t="s">
        <v>46</v>
      </c>
      <c r="S164" s="12"/>
      <c r="T164" s="12"/>
      <c r="U164" s="10">
        <v>1</v>
      </c>
      <c r="V164" s="12" t="s">
        <v>387</v>
      </c>
      <c r="W164" s="12" t="s">
        <v>55</v>
      </c>
      <c r="X164" s="15" t="s">
        <v>597</v>
      </c>
    </row>
    <row r="165" spans="2:24" ht="20.100000000000001" customHeight="1" x14ac:dyDescent="0.2">
      <c r="B165" s="13"/>
      <c r="C165" s="13"/>
      <c r="D165" s="38">
        <v>44923</v>
      </c>
      <c r="E165" s="13"/>
      <c r="F165" s="13"/>
      <c r="G165" s="13"/>
      <c r="H165" s="12" t="s">
        <v>767</v>
      </c>
      <c r="I165" s="12" t="s">
        <v>767</v>
      </c>
      <c r="J165" s="13"/>
      <c r="K165" s="3" t="s">
        <v>46</v>
      </c>
      <c r="L165" s="15" t="s">
        <v>702</v>
      </c>
      <c r="M165" s="15" t="s">
        <v>684</v>
      </c>
      <c r="N165" s="12" t="s">
        <v>46</v>
      </c>
      <c r="O165" s="13">
        <v>0</v>
      </c>
      <c r="P165" s="13"/>
      <c r="Q165" s="14" t="s">
        <v>464</v>
      </c>
      <c r="R165" s="16" t="s">
        <v>46</v>
      </c>
      <c r="S165" s="12" t="s">
        <v>501</v>
      </c>
      <c r="T165" s="12"/>
      <c r="U165" s="10">
        <v>10</v>
      </c>
      <c r="V165" s="12" t="s">
        <v>6</v>
      </c>
      <c r="W165" s="12" t="s">
        <v>232</v>
      </c>
      <c r="X165" s="15" t="s">
        <v>598</v>
      </c>
    </row>
    <row r="166" spans="2:24" ht="20.100000000000001" customHeight="1" x14ac:dyDescent="0.2">
      <c r="B166" s="13"/>
      <c r="C166" s="13"/>
      <c r="D166" s="38">
        <v>44924</v>
      </c>
      <c r="E166" s="13"/>
      <c r="F166" s="13"/>
      <c r="G166" s="13"/>
      <c r="H166" s="12" t="s">
        <v>605</v>
      </c>
      <c r="I166" s="12" t="s">
        <v>23</v>
      </c>
      <c r="J166" s="13"/>
      <c r="K166" s="3" t="s">
        <v>624</v>
      </c>
      <c r="L166" s="15" t="s">
        <v>768</v>
      </c>
      <c r="M166" s="15" t="s">
        <v>769</v>
      </c>
      <c r="N166" s="12" t="s">
        <v>46</v>
      </c>
      <c r="O166" s="13">
        <v>0</v>
      </c>
      <c r="P166" s="13"/>
      <c r="Q166" s="14" t="s">
        <v>458</v>
      </c>
      <c r="R166" s="12" t="s">
        <v>488</v>
      </c>
      <c r="S166" s="12"/>
      <c r="T166" s="12"/>
      <c r="U166" s="10">
        <v>2</v>
      </c>
      <c r="V166" s="12" t="s">
        <v>6</v>
      </c>
      <c r="W166" s="12" t="s">
        <v>55</v>
      </c>
      <c r="X166" s="15" t="s">
        <v>599</v>
      </c>
    </row>
    <row r="167" spans="2:24" ht="15" customHeight="1" x14ac:dyDescent="0.2">
      <c r="B167" s="13"/>
      <c r="C167" s="13"/>
      <c r="D167" s="38">
        <v>44924</v>
      </c>
      <c r="E167" s="13"/>
      <c r="F167" s="13"/>
      <c r="G167" s="13"/>
      <c r="H167" s="12" t="s">
        <v>605</v>
      </c>
      <c r="I167" s="12" t="s">
        <v>608</v>
      </c>
      <c r="J167" s="13"/>
      <c r="K167" s="3" t="s">
        <v>613</v>
      </c>
      <c r="L167" s="15" t="s">
        <v>770</v>
      </c>
      <c r="M167" s="15" t="s">
        <v>771</v>
      </c>
      <c r="N167" s="12"/>
      <c r="O167" s="13"/>
      <c r="P167" s="13"/>
      <c r="Q167" s="18" t="s">
        <v>830</v>
      </c>
      <c r="R167" s="13" t="s">
        <v>46</v>
      </c>
      <c r="S167" s="12" t="s">
        <v>300</v>
      </c>
      <c r="T167" s="3"/>
      <c r="U167" s="10">
        <v>20</v>
      </c>
      <c r="V167" s="12" t="s">
        <v>186</v>
      </c>
      <c r="W167" s="12" t="s">
        <v>55</v>
      </c>
      <c r="X167" s="15" t="s">
        <v>600</v>
      </c>
    </row>
  </sheetData>
  <autoFilter ref="B6:X167" xr:uid="{00000000-0009-0000-0000-000001000000}"/>
  <mergeCells count="9">
    <mergeCell ref="P5:W5"/>
    <mergeCell ref="B5:C5"/>
    <mergeCell ref="B2:C4"/>
    <mergeCell ref="D2:W4"/>
    <mergeCell ref="X2:X4"/>
    <mergeCell ref="D5:E5"/>
    <mergeCell ref="F5:G5"/>
    <mergeCell ref="H5:J5"/>
    <mergeCell ref="K5:O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18"/>
  <sheetViews>
    <sheetView topLeftCell="A4" workbookViewId="0">
      <selection activeCell="D8" sqref="D8:E17"/>
    </sheetView>
  </sheetViews>
  <sheetFormatPr defaultColWidth="10.76171875" defaultRowHeight="15" x14ac:dyDescent="0.2"/>
  <cols>
    <col min="1" max="1" width="18.16015625" customWidth="1"/>
    <col min="2" max="2" width="12.10546875" customWidth="1"/>
    <col min="3" max="3" width="28.65234375" customWidth="1"/>
    <col min="4" max="4" width="35.109375" customWidth="1"/>
    <col min="5" max="5" width="20.4453125" customWidth="1"/>
    <col min="8" max="8" width="12.5078125" customWidth="1"/>
    <col min="9" max="9" width="12.10546875" customWidth="1"/>
  </cols>
  <sheetData>
    <row r="3" spans="1:9" x14ac:dyDescent="0.2">
      <c r="A3" s="82" t="s">
        <v>18</v>
      </c>
      <c r="B3" s="4" t="s">
        <v>1266</v>
      </c>
    </row>
    <row r="4" spans="1:9" x14ac:dyDescent="0.2">
      <c r="A4" s="60" t="s">
        <v>613</v>
      </c>
      <c r="B4" s="81">
        <v>22</v>
      </c>
    </row>
    <row r="5" spans="1:9" x14ac:dyDescent="0.2">
      <c r="A5" s="60" t="s">
        <v>46</v>
      </c>
      <c r="B5" s="81">
        <v>17</v>
      </c>
      <c r="D5" s="80" t="s">
        <v>5</v>
      </c>
      <c r="E5" t="s">
        <v>1268</v>
      </c>
    </row>
    <row r="6" spans="1:9" x14ac:dyDescent="0.2">
      <c r="A6" s="60" t="s">
        <v>624</v>
      </c>
      <c r="B6" s="81">
        <v>57</v>
      </c>
      <c r="H6" s="80" t="s">
        <v>21</v>
      </c>
      <c r="I6" t="s">
        <v>1266</v>
      </c>
    </row>
    <row r="7" spans="1:9" x14ac:dyDescent="0.2">
      <c r="A7" s="60" t="s">
        <v>604</v>
      </c>
      <c r="B7" s="81">
        <v>30</v>
      </c>
      <c r="D7" s="80" t="s">
        <v>1263</v>
      </c>
      <c r="E7" t="s">
        <v>1267</v>
      </c>
      <c r="H7" s="60" t="s">
        <v>26</v>
      </c>
      <c r="I7" s="81">
        <v>1</v>
      </c>
    </row>
    <row r="8" spans="1:9" x14ac:dyDescent="0.2">
      <c r="A8" s="60" t="s">
        <v>601</v>
      </c>
      <c r="B8" s="81">
        <v>35</v>
      </c>
      <c r="D8" s="60" t="s">
        <v>231</v>
      </c>
      <c r="E8" s="81">
        <v>1083</v>
      </c>
      <c r="H8" s="60" t="s">
        <v>703</v>
      </c>
      <c r="I8" s="81">
        <v>1</v>
      </c>
    </row>
    <row r="9" spans="1:9" x14ac:dyDescent="0.2">
      <c r="A9" s="60" t="s">
        <v>1264</v>
      </c>
      <c r="B9" s="81">
        <v>161</v>
      </c>
      <c r="D9" s="60" t="s">
        <v>184</v>
      </c>
      <c r="E9" s="81">
        <v>325</v>
      </c>
      <c r="H9" s="60" t="s">
        <v>704</v>
      </c>
      <c r="I9" s="81">
        <v>1</v>
      </c>
    </row>
    <row r="10" spans="1:9" x14ac:dyDescent="0.2">
      <c r="D10" s="60" t="s">
        <v>279</v>
      </c>
      <c r="E10" s="81">
        <v>20</v>
      </c>
      <c r="H10" s="60" t="s">
        <v>230</v>
      </c>
      <c r="I10" s="81">
        <v>2</v>
      </c>
    </row>
    <row r="11" spans="1:9" x14ac:dyDescent="0.2">
      <c r="D11" s="60" t="s">
        <v>190</v>
      </c>
      <c r="E11" s="81">
        <v>412.5</v>
      </c>
      <c r="H11" s="60" t="s">
        <v>701</v>
      </c>
      <c r="I11" s="81">
        <v>1</v>
      </c>
    </row>
    <row r="12" spans="1:9" x14ac:dyDescent="0.2">
      <c r="D12" s="60" t="s">
        <v>830</v>
      </c>
      <c r="E12" s="81">
        <v>1256</v>
      </c>
      <c r="H12" s="60" t="s">
        <v>700</v>
      </c>
      <c r="I12" s="81">
        <v>2</v>
      </c>
    </row>
    <row r="13" spans="1:9" x14ac:dyDescent="0.2">
      <c r="A13" s="80" t="s">
        <v>1263</v>
      </c>
      <c r="B13" t="s">
        <v>1265</v>
      </c>
      <c r="D13" s="60" t="s">
        <v>441</v>
      </c>
      <c r="E13" s="81">
        <v>15</v>
      </c>
      <c r="H13" s="60" t="s">
        <v>682</v>
      </c>
      <c r="I13" s="81">
        <v>1</v>
      </c>
    </row>
    <row r="14" spans="1:9" x14ac:dyDescent="0.2">
      <c r="A14" s="60" t="s">
        <v>80</v>
      </c>
      <c r="B14" s="81">
        <v>3</v>
      </c>
      <c r="D14" s="60" t="s">
        <v>445</v>
      </c>
      <c r="E14" s="81">
        <v>20</v>
      </c>
      <c r="H14" s="60" t="s">
        <v>605</v>
      </c>
      <c r="I14" s="81">
        <v>149</v>
      </c>
    </row>
    <row r="15" spans="1:9" x14ac:dyDescent="0.2">
      <c r="A15" s="60" t="s">
        <v>55</v>
      </c>
      <c r="B15" s="81">
        <v>119</v>
      </c>
      <c r="D15" s="60" t="s">
        <v>461</v>
      </c>
      <c r="E15" s="81">
        <v>20</v>
      </c>
      <c r="H15" s="60" t="s">
        <v>688</v>
      </c>
      <c r="I15" s="81">
        <v>2</v>
      </c>
    </row>
    <row r="16" spans="1:9" x14ac:dyDescent="0.2">
      <c r="A16" s="60" t="s">
        <v>89</v>
      </c>
      <c r="B16" s="81">
        <v>4</v>
      </c>
      <c r="D16" s="60" t="s">
        <v>788</v>
      </c>
      <c r="E16" s="81">
        <v>170</v>
      </c>
      <c r="H16" s="60" t="s">
        <v>767</v>
      </c>
      <c r="I16" s="81">
        <v>1</v>
      </c>
    </row>
    <row r="17" spans="1:9" x14ac:dyDescent="0.2">
      <c r="A17" s="60" t="s">
        <v>232</v>
      </c>
      <c r="B17" s="81">
        <v>35</v>
      </c>
      <c r="D17" s="60" t="s">
        <v>435</v>
      </c>
      <c r="E17" s="81">
        <v>25</v>
      </c>
      <c r="H17" s="60" t="s">
        <v>1264</v>
      </c>
      <c r="I17" s="81">
        <v>161</v>
      </c>
    </row>
    <row r="18" spans="1:9" x14ac:dyDescent="0.2">
      <c r="A18" s="60" t="s">
        <v>1264</v>
      </c>
      <c r="B18" s="81">
        <v>161</v>
      </c>
      <c r="D18" s="60" t="s">
        <v>1264</v>
      </c>
      <c r="E18" s="81">
        <v>3346.5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160"/>
  <sheetViews>
    <sheetView zoomScale="60" zoomScaleNormal="60" workbookViewId="0">
      <selection activeCell="L22" sqref="L22"/>
    </sheetView>
  </sheetViews>
  <sheetFormatPr defaultColWidth="10.76171875" defaultRowHeight="15" x14ac:dyDescent="0.2"/>
  <cols>
    <col min="2" max="2" width="5.51171875" style="4" customWidth="1"/>
    <col min="3" max="3" width="62.8203125" customWidth="1"/>
    <col min="4" max="7" width="13.046875" style="7" customWidth="1"/>
    <col min="8" max="8" width="11.43359375" style="7" customWidth="1"/>
    <col min="9" max="9" width="5.51171875" customWidth="1"/>
    <col min="10" max="10" width="27.57421875" customWidth="1"/>
  </cols>
  <sheetData>
    <row r="1" spans="2:10" ht="15.75" thickBot="1" x14ac:dyDescent="0.25"/>
    <row r="2" spans="2:10" x14ac:dyDescent="0.2">
      <c r="B2" s="93" t="s">
        <v>772</v>
      </c>
      <c r="C2" s="94"/>
      <c r="D2" s="94"/>
      <c r="E2" s="94"/>
      <c r="F2" s="94"/>
      <c r="G2" s="94"/>
      <c r="H2" s="94"/>
      <c r="I2" s="94"/>
      <c r="J2" s="95"/>
    </row>
    <row r="3" spans="2:10" x14ac:dyDescent="0.2">
      <c r="B3" s="96"/>
      <c r="C3" s="97"/>
      <c r="D3" s="97"/>
      <c r="E3" s="97"/>
      <c r="F3" s="97"/>
      <c r="G3" s="97"/>
      <c r="H3" s="97"/>
      <c r="I3" s="97"/>
      <c r="J3" s="98"/>
    </row>
    <row r="4" spans="2:10" ht="15.75" thickBot="1" x14ac:dyDescent="0.25">
      <c r="B4" s="99"/>
      <c r="C4" s="100"/>
      <c r="D4" s="100"/>
      <c r="E4" s="100"/>
      <c r="F4" s="100"/>
      <c r="G4" s="100"/>
      <c r="H4" s="100"/>
      <c r="I4" s="100"/>
      <c r="J4" s="101"/>
    </row>
    <row r="5" spans="2:10" ht="15.75" thickBot="1" x14ac:dyDescent="0.25">
      <c r="B5" s="40" t="s">
        <v>0</v>
      </c>
      <c r="C5" s="41" t="s">
        <v>4</v>
      </c>
      <c r="D5" s="42" t="s">
        <v>773</v>
      </c>
      <c r="E5" s="42" t="s">
        <v>1253</v>
      </c>
      <c r="F5" s="42" t="s">
        <v>774</v>
      </c>
      <c r="G5" s="42" t="s">
        <v>775</v>
      </c>
      <c r="H5" s="42" t="s">
        <v>776</v>
      </c>
      <c r="I5" s="41" t="s">
        <v>6</v>
      </c>
      <c r="J5" s="43" t="s">
        <v>777</v>
      </c>
    </row>
    <row r="6" spans="2:10" ht="15" customHeight="1" x14ac:dyDescent="0.2">
      <c r="B6" s="44">
        <v>1</v>
      </c>
      <c r="C6" s="45" t="s">
        <v>184</v>
      </c>
      <c r="D6" s="46">
        <v>118</v>
      </c>
      <c r="E6" s="46">
        <f>SUMIF(INV.!$D$6:$D$1000,REP!$C$6:$C$1000,INV.!$F$6:$F$1000)</f>
        <v>0</v>
      </c>
      <c r="F6" s="46">
        <f>SUMIF(IN!$L$6:$L$1000,REP!$C$6:$C$998,IN!$Q$6:$Q$1000)</f>
        <v>412.5</v>
      </c>
      <c r="G6" s="46">
        <f>SUMIF(OUT!$Q$7:$Q$1000,REP!C6:$C$998,OUT!$U$7:$U$1000)</f>
        <v>333</v>
      </c>
      <c r="H6" s="47">
        <f>E6+F6-G6</f>
        <v>79.5</v>
      </c>
      <c r="I6" s="28" t="s">
        <v>778</v>
      </c>
      <c r="J6" s="48"/>
    </row>
    <row r="7" spans="2:10" ht="15" customHeight="1" x14ac:dyDescent="0.2">
      <c r="B7" s="49">
        <v>2</v>
      </c>
      <c r="C7" s="50" t="s">
        <v>779</v>
      </c>
      <c r="D7" s="46">
        <v>2</v>
      </c>
      <c r="E7" s="46">
        <f>SUMIF(INV.!$D$6:$D$1000,REP!$C$6:$C$1000,INV.!$F$6:$F$1000)</f>
        <v>0</v>
      </c>
      <c r="F7" s="46">
        <f>SUMIF(IN!$L$6:$L$1000,REP!$C$6:$C$998,IN!$Q$6:$Q$1000)</f>
        <v>0</v>
      </c>
      <c r="G7" s="46">
        <f>SUMIF(OUT!$Q$7:$Q$1000,REP!C7:$C$998,OUT!$U$7:$U$1000)</f>
        <v>0</v>
      </c>
      <c r="H7" s="47">
        <f t="shared" ref="H7:H70" si="0">E7+F7-G7</f>
        <v>0</v>
      </c>
      <c r="I7" s="52" t="s">
        <v>64</v>
      </c>
      <c r="J7" s="53"/>
    </row>
    <row r="8" spans="2:10" ht="15" customHeight="1" x14ac:dyDescent="0.2">
      <c r="B8" s="49">
        <v>3</v>
      </c>
      <c r="C8" s="54" t="s">
        <v>780</v>
      </c>
      <c r="D8" s="46">
        <v>6</v>
      </c>
      <c r="E8" s="46">
        <f>SUMIF(INV.!$D$6:$D$1000,REP!$C$6:$C$1000,INV.!$F$6:$F$1000)</f>
        <v>0</v>
      </c>
      <c r="F8" s="46">
        <f>SUMIF(IN!$L$6:$L$1000,REP!$C$6:$C$998,IN!$Q$6:$Q$1000)</f>
        <v>8</v>
      </c>
      <c r="G8" s="46">
        <f>SUMIF(OUT!$Q$7:$Q$1000,REP!C8:$C$998,OUT!$U$7:$U$1000)</f>
        <v>6</v>
      </c>
      <c r="H8" s="47">
        <f t="shared" si="0"/>
        <v>2</v>
      </c>
      <c r="I8" s="52" t="s">
        <v>64</v>
      </c>
      <c r="J8" s="53"/>
    </row>
    <row r="9" spans="2:10" ht="15" customHeight="1" x14ac:dyDescent="0.2">
      <c r="B9" s="44">
        <v>4</v>
      </c>
      <c r="C9" s="54" t="s">
        <v>781</v>
      </c>
      <c r="D9" s="46">
        <v>2</v>
      </c>
      <c r="E9" s="46">
        <f>SUMIF(INV.!$D$6:$D$1000,REP!$C$6:$C$1000,INV.!$F$6:$F$1000)</f>
        <v>0</v>
      </c>
      <c r="F9" s="46">
        <f>SUMIF(IN!$L$6:$L$1000,REP!$C$6:$C$998,IN!$Q$6:$Q$1000)</f>
        <v>2</v>
      </c>
      <c r="G9" s="46">
        <f>SUMIF(OUT!$Q$7:$Q$1000,REP!C9:$C$998,OUT!$U$7:$U$1000)</f>
        <v>2</v>
      </c>
      <c r="H9" s="47">
        <f t="shared" si="0"/>
        <v>0</v>
      </c>
      <c r="I9" s="52" t="s">
        <v>64</v>
      </c>
      <c r="J9" s="53"/>
    </row>
    <row r="10" spans="2:10" ht="15" customHeight="1" x14ac:dyDescent="0.2">
      <c r="B10" s="49">
        <v>5</v>
      </c>
      <c r="C10" s="50" t="s">
        <v>782</v>
      </c>
      <c r="D10" s="46">
        <v>2</v>
      </c>
      <c r="E10" s="46">
        <f>SUMIF(INV.!$D$6:$D$1000,REP!$C$6:$C$1000,INV.!$F$6:$F$1000)</f>
        <v>0</v>
      </c>
      <c r="F10" s="46">
        <f>SUMIF(IN!$L$6:$L$1000,REP!$C$6:$C$998,IN!$Q$6:$Q$1000)</f>
        <v>0</v>
      </c>
      <c r="G10" s="46">
        <f>SUMIF(OUT!$Q$7:$Q$1000,REP!C10:$C$998,OUT!$U$7:$U$1000)</f>
        <v>0</v>
      </c>
      <c r="H10" s="47">
        <f t="shared" si="0"/>
        <v>0</v>
      </c>
      <c r="I10" s="52" t="s">
        <v>64</v>
      </c>
      <c r="J10" s="53"/>
    </row>
    <row r="11" spans="2:10" ht="15" customHeight="1" x14ac:dyDescent="0.2">
      <c r="B11" s="49">
        <v>6</v>
      </c>
      <c r="C11" s="50" t="s">
        <v>239</v>
      </c>
      <c r="D11" s="46">
        <v>6</v>
      </c>
      <c r="E11" s="46">
        <f>SUMIF(INV.!$D$6:$D$1000,REP!$C$6:$C$1000,INV.!$F$6:$F$1000)</f>
        <v>0</v>
      </c>
      <c r="F11" s="46">
        <f>SUMIF(IN!$L$6:$L$1000,REP!$C$6:$C$998,IN!$Q$6:$Q$1000)</f>
        <v>12</v>
      </c>
      <c r="G11" s="46">
        <f>SUMIF(OUT!$Q$7:$Q$1000,REP!C11:$C$998,OUT!$U$7:$U$1000)</f>
        <v>4</v>
      </c>
      <c r="H11" s="47">
        <f t="shared" si="0"/>
        <v>8</v>
      </c>
      <c r="I11" s="52" t="s">
        <v>64</v>
      </c>
      <c r="J11" s="53"/>
    </row>
    <row r="12" spans="2:10" ht="15" customHeight="1" x14ac:dyDescent="0.2">
      <c r="B12" s="44">
        <v>7</v>
      </c>
      <c r="C12" s="50" t="s">
        <v>162</v>
      </c>
      <c r="D12" s="46">
        <v>9</v>
      </c>
      <c r="E12" s="46">
        <f>SUMIF(INV.!$D$6:$D$1000,REP!$C$6:$C$1000,INV.!$F$6:$F$1000)</f>
        <v>0</v>
      </c>
      <c r="F12" s="46">
        <f>SUMIF(IN!$L$6:$L$1000,REP!$C$6:$C$998,IN!$Q$6:$Q$1000)</f>
        <v>27</v>
      </c>
      <c r="G12" s="46">
        <f>SUMIF(OUT!$Q$7:$Q$1000,REP!C12:$C$998,OUT!$U$7:$U$1000)</f>
        <v>9</v>
      </c>
      <c r="H12" s="47">
        <f t="shared" si="0"/>
        <v>18</v>
      </c>
      <c r="I12" s="52" t="s">
        <v>64</v>
      </c>
      <c r="J12" s="53"/>
    </row>
    <row r="13" spans="2:10" ht="15" customHeight="1" x14ac:dyDescent="0.2">
      <c r="B13" s="49">
        <v>8</v>
      </c>
      <c r="C13" s="50" t="s">
        <v>783</v>
      </c>
      <c r="D13" s="46">
        <v>3</v>
      </c>
      <c r="E13" s="46">
        <f>SUMIF(INV.!$D$6:$D$1000,REP!$C$6:$C$1000,INV.!$F$6:$F$1000)</f>
        <v>0</v>
      </c>
      <c r="F13" s="46">
        <f>SUMIF(IN!$L$6:$L$1000,REP!$C$6:$C$998,IN!$Q$6:$Q$1000)</f>
        <v>0</v>
      </c>
      <c r="G13" s="46">
        <f>SUMIF(OUT!$Q$7:$Q$1000,REP!C13:$C$998,OUT!$U$7:$U$1000)</f>
        <v>0</v>
      </c>
      <c r="H13" s="47">
        <f t="shared" si="0"/>
        <v>0</v>
      </c>
      <c r="I13" s="52" t="s">
        <v>64</v>
      </c>
      <c r="J13" s="53"/>
    </row>
    <row r="14" spans="2:10" ht="15" customHeight="1" x14ac:dyDescent="0.2">
      <c r="B14" s="49">
        <v>9</v>
      </c>
      <c r="C14" s="50" t="s">
        <v>784</v>
      </c>
      <c r="D14" s="46">
        <v>2</v>
      </c>
      <c r="E14" s="46">
        <f>SUMIF(INV.!$D$6:$D$1000,REP!$C$6:$C$1000,INV.!$F$6:$F$1000)</f>
        <v>0</v>
      </c>
      <c r="F14" s="46">
        <f>SUMIF(IN!$L$6:$L$1000,REP!$C$6:$C$998,IN!$Q$6:$Q$1000)</f>
        <v>0</v>
      </c>
      <c r="G14" s="46">
        <f>SUMIF(OUT!$Q$7:$Q$1000,REP!C14:$C$998,OUT!$U$7:$U$1000)</f>
        <v>0</v>
      </c>
      <c r="H14" s="47">
        <f t="shared" si="0"/>
        <v>0</v>
      </c>
      <c r="I14" s="52" t="s">
        <v>64</v>
      </c>
      <c r="J14" s="53"/>
    </row>
    <row r="15" spans="2:10" ht="15" customHeight="1" x14ac:dyDescent="0.2">
      <c r="B15" s="44">
        <v>10</v>
      </c>
      <c r="C15" s="50" t="s">
        <v>785</v>
      </c>
      <c r="D15" s="46">
        <v>3</v>
      </c>
      <c r="E15" s="46">
        <f>SUMIF(INV.!$D$6:$D$1000,REP!$C$6:$C$1000,INV.!$F$6:$F$1000)</f>
        <v>0</v>
      </c>
      <c r="F15" s="46">
        <f>SUMIF(IN!$L$6:$L$1000,REP!$C$6:$C$998,IN!$Q$6:$Q$1000)</f>
        <v>0</v>
      </c>
      <c r="G15" s="46">
        <f>SUMIF(OUT!$Q$7:$Q$1000,REP!C15:$C$998,OUT!$U$7:$U$1000)</f>
        <v>0</v>
      </c>
      <c r="H15" s="47">
        <f t="shared" si="0"/>
        <v>0</v>
      </c>
      <c r="I15" s="52" t="s">
        <v>64</v>
      </c>
      <c r="J15" s="53"/>
    </row>
    <row r="16" spans="2:10" ht="15" customHeight="1" x14ac:dyDescent="0.2">
      <c r="B16" s="49">
        <v>11</v>
      </c>
      <c r="C16" s="50" t="s">
        <v>786</v>
      </c>
      <c r="D16" s="46">
        <v>2</v>
      </c>
      <c r="E16" s="46">
        <f>SUMIF(INV.!$D$6:$D$1000,REP!$C$6:$C$1000,INV.!$F$6:$F$1000)</f>
        <v>0</v>
      </c>
      <c r="F16" s="46">
        <f>SUMIF(IN!$L$6:$L$1000,REP!$C$6:$C$998,IN!$Q$6:$Q$1000)</f>
        <v>0</v>
      </c>
      <c r="G16" s="46">
        <f>SUMIF(OUT!$Q$7:$Q$1000,REP!C16:$C$998,OUT!$U$7:$U$1000)</f>
        <v>0</v>
      </c>
      <c r="H16" s="47">
        <f t="shared" si="0"/>
        <v>0</v>
      </c>
      <c r="I16" s="52" t="s">
        <v>64</v>
      </c>
      <c r="J16" s="53"/>
    </row>
    <row r="17" spans="2:10" ht="15" customHeight="1" x14ac:dyDescent="0.2">
      <c r="B17" s="49">
        <v>12</v>
      </c>
      <c r="C17" s="50" t="s">
        <v>787</v>
      </c>
      <c r="D17" s="46">
        <v>2</v>
      </c>
      <c r="E17" s="46">
        <f>SUMIF(INV.!$D$6:$D$1000,REP!$C$6:$C$1000,INV.!$F$6:$F$1000)</f>
        <v>0</v>
      </c>
      <c r="F17" s="46">
        <f>SUMIF(IN!$L$6:$L$1000,REP!$C$6:$C$998,IN!$Q$6:$Q$1000)</f>
        <v>0</v>
      </c>
      <c r="G17" s="46">
        <f>SUMIF(OUT!$Q$7:$Q$1000,REP!C17:$C$998,OUT!$U$7:$U$1000)</f>
        <v>0</v>
      </c>
      <c r="H17" s="47">
        <f t="shared" si="0"/>
        <v>0</v>
      </c>
      <c r="I17" s="52" t="s">
        <v>64</v>
      </c>
      <c r="J17" s="53"/>
    </row>
    <row r="18" spans="2:10" ht="15" customHeight="1" x14ac:dyDescent="0.2">
      <c r="B18" s="44">
        <v>13</v>
      </c>
      <c r="C18" s="50" t="s">
        <v>788</v>
      </c>
      <c r="D18" s="46">
        <v>170</v>
      </c>
      <c r="E18" s="46">
        <f>SUMIF(INV.!$D$6:$D$1000,REP!$C$6:$C$1000,INV.!$F$6:$F$1000)</f>
        <v>0</v>
      </c>
      <c r="F18" s="46">
        <f>SUMIF(IN!$L$6:$L$1000,REP!$C$6:$C$998,IN!$Q$6:$Q$1000)</f>
        <v>200</v>
      </c>
      <c r="G18" s="46">
        <f>SUMIF(OUT!$Q$7:$Q$1000,REP!C18:$C$998,OUT!$U$7:$U$1000)</f>
        <v>180</v>
      </c>
      <c r="H18" s="47">
        <f t="shared" si="0"/>
        <v>20</v>
      </c>
      <c r="I18" s="52" t="s">
        <v>64</v>
      </c>
      <c r="J18" s="53"/>
    </row>
    <row r="19" spans="2:10" ht="15" customHeight="1" x14ac:dyDescent="0.2">
      <c r="B19" s="49">
        <v>14</v>
      </c>
      <c r="C19" s="50" t="s">
        <v>789</v>
      </c>
      <c r="D19" s="46">
        <v>2</v>
      </c>
      <c r="E19" s="46">
        <f>SUMIF(INV.!$D$6:$D$1000,REP!$C$6:$C$1000,INV.!$F$6:$F$1000)</f>
        <v>0</v>
      </c>
      <c r="F19" s="46">
        <f>SUMIF(IN!$L$6:$L$1000,REP!$C$6:$C$998,IN!$Q$6:$Q$1000)</f>
        <v>0</v>
      </c>
      <c r="G19" s="46">
        <f>SUMIF(OUT!$Q$7:$Q$1000,REP!C19:$C$998,OUT!$U$7:$U$1000)</f>
        <v>0</v>
      </c>
      <c r="H19" s="47">
        <f t="shared" si="0"/>
        <v>0</v>
      </c>
      <c r="I19" s="52" t="s">
        <v>64</v>
      </c>
      <c r="J19" s="53"/>
    </row>
    <row r="20" spans="2:10" ht="15" customHeight="1" x14ac:dyDescent="0.2">
      <c r="B20" s="49">
        <v>15</v>
      </c>
      <c r="C20" s="50" t="s">
        <v>790</v>
      </c>
      <c r="D20" s="46">
        <v>3</v>
      </c>
      <c r="E20" s="46">
        <f>SUMIF(INV.!$D$6:$D$1000,REP!$C$6:$C$1000,INV.!$F$6:$F$1000)</f>
        <v>0</v>
      </c>
      <c r="F20" s="46">
        <f>SUMIF(IN!$L$6:$L$1000,REP!$C$6:$C$998,IN!$Q$6:$Q$1000)</f>
        <v>0</v>
      </c>
      <c r="G20" s="46">
        <f>SUMIF(OUT!$Q$7:$Q$1000,REP!C20:$C$998,OUT!$U$7:$U$1000)</f>
        <v>0</v>
      </c>
      <c r="H20" s="47">
        <f t="shared" si="0"/>
        <v>0</v>
      </c>
      <c r="I20" s="52" t="s">
        <v>64</v>
      </c>
      <c r="J20" s="53"/>
    </row>
    <row r="21" spans="2:10" ht="15" customHeight="1" x14ac:dyDescent="0.2">
      <c r="B21" s="44">
        <v>16</v>
      </c>
      <c r="C21" s="50" t="s">
        <v>1254</v>
      </c>
      <c r="D21" s="46">
        <v>2</v>
      </c>
      <c r="E21" s="46">
        <f>SUMIF(INV.!$D$6:$D$1000,REP!$C$6:$C$1000,INV.!$F$6:$F$1000)</f>
        <v>11</v>
      </c>
      <c r="F21" s="46">
        <f>SUMIF(IN!$L$6:$L$1000,REP!$C$6:$C$998,IN!$Q$6:$Q$1000)</f>
        <v>0</v>
      </c>
      <c r="G21" s="46">
        <f>SUMIF(OUT!$Q$7:$Q$1000,REP!C21:$C$998,OUT!$U$7:$U$1000)</f>
        <v>0</v>
      </c>
      <c r="H21" s="47">
        <f t="shared" si="0"/>
        <v>11</v>
      </c>
      <c r="I21" s="52" t="s">
        <v>180</v>
      </c>
      <c r="J21" s="53"/>
    </row>
    <row r="22" spans="2:10" ht="15" customHeight="1" x14ac:dyDescent="0.2">
      <c r="B22" s="49">
        <v>17</v>
      </c>
      <c r="C22" s="50" t="s">
        <v>358</v>
      </c>
      <c r="D22" s="46">
        <v>80</v>
      </c>
      <c r="E22" s="46">
        <f>SUMIF(INV.!$D$6:$D$1000,REP!$C$6:$C$1000,INV.!$F$6:$F$1000)</f>
        <v>0</v>
      </c>
      <c r="F22" s="46">
        <f>SUMIF(IN!$L$6:$L$1000,REP!$C$6:$C$998,IN!$Q$6:$Q$1000)</f>
        <v>60</v>
      </c>
      <c r="G22" s="46">
        <f>SUMIF(OUT!$Q$7:$Q$1000,REP!C22:$C$998,OUT!$U$7:$U$1000)</f>
        <v>34</v>
      </c>
      <c r="H22" s="47">
        <f t="shared" si="0"/>
        <v>26</v>
      </c>
      <c r="I22" s="28" t="s">
        <v>778</v>
      </c>
      <c r="J22" s="53"/>
    </row>
    <row r="23" spans="2:10" ht="15" customHeight="1" x14ac:dyDescent="0.2">
      <c r="B23" s="49">
        <v>18</v>
      </c>
      <c r="C23" s="50" t="s">
        <v>190</v>
      </c>
      <c r="D23" s="46">
        <v>400</v>
      </c>
      <c r="E23" s="46">
        <f>SUMIF(INV.!$D$6:$D$1000,REP!$C$6:$C$1000,INV.!$F$6:$F$1000)</f>
        <v>0</v>
      </c>
      <c r="F23" s="46">
        <f>SUMIF(IN!$L$6:$L$1000,REP!$C$6:$C$998,IN!$Q$6:$Q$1000)</f>
        <v>828</v>
      </c>
      <c r="G23" s="46">
        <f>SUMIF(OUT!$Q$7:$Q$1000,REP!C23:$C$998,OUT!$U$7:$U$1000)</f>
        <v>412.5</v>
      </c>
      <c r="H23" s="47">
        <f t="shared" si="0"/>
        <v>415.5</v>
      </c>
      <c r="I23" s="28" t="s">
        <v>778</v>
      </c>
      <c r="J23" s="53"/>
    </row>
    <row r="24" spans="2:10" ht="15" customHeight="1" x14ac:dyDescent="0.2">
      <c r="B24" s="44">
        <v>19</v>
      </c>
      <c r="C24" s="50" t="s">
        <v>791</v>
      </c>
      <c r="D24" s="46">
        <v>2</v>
      </c>
      <c r="E24" s="46">
        <f>SUMIF(INV.!$D$6:$D$1000,REP!$C$6:$C$1000,INV.!$F$6:$F$1000)</f>
        <v>0</v>
      </c>
      <c r="F24" s="46">
        <f>SUMIF(IN!$L$6:$L$1000,REP!$C$6:$C$998,IN!$Q$6:$Q$1000)</f>
        <v>0</v>
      </c>
      <c r="G24" s="46">
        <f>SUMIF(OUT!$Q$7:$Q$1000,REP!C24:$C$998,OUT!$U$7:$U$1000)</f>
        <v>0</v>
      </c>
      <c r="H24" s="47">
        <f t="shared" si="0"/>
        <v>0</v>
      </c>
      <c r="I24" s="52" t="s">
        <v>64</v>
      </c>
      <c r="J24" s="53"/>
    </row>
    <row r="25" spans="2:10" ht="15" customHeight="1" x14ac:dyDescent="0.2">
      <c r="B25" s="49">
        <v>20</v>
      </c>
      <c r="C25" s="51" t="s">
        <v>792</v>
      </c>
      <c r="D25" s="46">
        <v>3</v>
      </c>
      <c r="E25" s="46">
        <f>SUMIF(INV.!$D$6:$D$1000,REP!$C$6:$C$1000,INV.!$F$6:$F$1000)</f>
        <v>7</v>
      </c>
      <c r="F25" s="46">
        <f>SUMIF(IN!$L$6:$L$1000,REP!$C$6:$C$998,IN!$Q$6:$Q$1000)</f>
        <v>0</v>
      </c>
      <c r="G25" s="46">
        <f>SUMIF(OUT!$Q$7:$Q$1000,REP!C25:$C$998,OUT!$U$7:$U$1000)</f>
        <v>0</v>
      </c>
      <c r="H25" s="47">
        <f t="shared" si="0"/>
        <v>7</v>
      </c>
      <c r="I25" s="52" t="s">
        <v>64</v>
      </c>
      <c r="J25" s="53"/>
    </row>
    <row r="26" spans="2:10" ht="15" customHeight="1" x14ac:dyDescent="0.2">
      <c r="B26" s="49">
        <v>21</v>
      </c>
      <c r="C26" s="51" t="s">
        <v>1255</v>
      </c>
      <c r="D26" s="46">
        <v>3</v>
      </c>
      <c r="E26" s="46">
        <f>SUMIF(INV.!$D$6:$D$1000,REP!$C$6:$C$1000,INV.!$F$6:$F$1000)</f>
        <v>56</v>
      </c>
      <c r="F26" s="46">
        <f>SUMIF(IN!$L$6:$L$1000,REP!$C$6:$C$998,IN!$Q$6:$Q$1000)</f>
        <v>0</v>
      </c>
      <c r="G26" s="46">
        <f>SUMIF(OUT!$Q$7:$Q$1000,REP!C26:$C$998,OUT!$U$7:$U$1000)</f>
        <v>0</v>
      </c>
      <c r="H26" s="47">
        <f t="shared" si="0"/>
        <v>56</v>
      </c>
      <c r="I26" s="52" t="s">
        <v>64</v>
      </c>
      <c r="J26" s="53"/>
    </row>
    <row r="27" spans="2:10" ht="15" customHeight="1" x14ac:dyDescent="0.2">
      <c r="B27" s="44">
        <v>22</v>
      </c>
      <c r="C27" s="51" t="s">
        <v>793</v>
      </c>
      <c r="D27" s="46">
        <v>3</v>
      </c>
      <c r="E27" s="46">
        <f>SUMIF(INV.!$D$6:$D$1000,REP!$C$6:$C$1000,INV.!$F$6:$F$1000)</f>
        <v>9</v>
      </c>
      <c r="F27" s="46">
        <f>SUMIF(IN!$L$6:$L$1000,REP!$C$6:$C$998,IN!$Q$6:$Q$1000)</f>
        <v>0</v>
      </c>
      <c r="G27" s="46">
        <f>SUMIF(OUT!$Q$7:$Q$1000,REP!C27:$C$998,OUT!$U$7:$U$1000)</f>
        <v>0</v>
      </c>
      <c r="H27" s="47">
        <f t="shared" si="0"/>
        <v>9</v>
      </c>
      <c r="I27" s="52" t="s">
        <v>64</v>
      </c>
      <c r="J27" s="53"/>
    </row>
    <row r="28" spans="2:10" ht="15" customHeight="1" x14ac:dyDescent="0.2">
      <c r="B28" s="49">
        <v>23</v>
      </c>
      <c r="C28" s="51" t="s">
        <v>794</v>
      </c>
      <c r="D28" s="46">
        <v>3</v>
      </c>
      <c r="E28" s="46">
        <f>SUMIF(INV.!$D$6:$D$1000,REP!$C$6:$C$1000,INV.!$F$6:$F$1000)</f>
        <v>7</v>
      </c>
      <c r="F28" s="46">
        <f>SUMIF(IN!$L$6:$L$1000,REP!$C$6:$C$998,IN!$Q$6:$Q$1000)</f>
        <v>0</v>
      </c>
      <c r="G28" s="46">
        <f>SUMIF(OUT!$Q$7:$Q$1000,REP!C28:$C$998,OUT!$U$7:$U$1000)</f>
        <v>0</v>
      </c>
      <c r="H28" s="47">
        <f t="shared" si="0"/>
        <v>7</v>
      </c>
      <c r="I28" s="52" t="s">
        <v>64</v>
      </c>
      <c r="J28" s="53"/>
    </row>
    <row r="29" spans="2:10" ht="15" customHeight="1" x14ac:dyDescent="0.2">
      <c r="B29" s="49">
        <v>24</v>
      </c>
      <c r="C29" s="51" t="s">
        <v>795</v>
      </c>
      <c r="D29" s="46">
        <v>3</v>
      </c>
      <c r="E29" s="46">
        <f>SUMIF(INV.!$D$6:$D$1000,REP!$C$6:$C$1000,INV.!$F$6:$F$1000)</f>
        <v>4</v>
      </c>
      <c r="F29" s="46">
        <f>SUMIF(IN!$L$6:$L$1000,REP!$C$6:$C$998,IN!$Q$6:$Q$1000)</f>
        <v>0</v>
      </c>
      <c r="G29" s="46">
        <f>SUMIF(OUT!$Q$7:$Q$1000,REP!C29:$C$998,OUT!$U$7:$U$1000)</f>
        <v>0</v>
      </c>
      <c r="H29" s="47">
        <f t="shared" si="0"/>
        <v>4</v>
      </c>
      <c r="I29" s="52" t="s">
        <v>64</v>
      </c>
      <c r="J29" s="53"/>
    </row>
    <row r="30" spans="2:10" ht="15" customHeight="1" x14ac:dyDescent="0.2">
      <c r="B30" s="44">
        <v>25</v>
      </c>
      <c r="C30" s="51" t="s">
        <v>796</v>
      </c>
      <c r="D30" s="46">
        <v>3</v>
      </c>
      <c r="E30" s="46">
        <f>SUMIF(INV.!$D$6:$D$1000,REP!$C$6:$C$1000,INV.!$F$6:$F$1000)</f>
        <v>8</v>
      </c>
      <c r="F30" s="46">
        <f>SUMIF(IN!$L$6:$L$1000,REP!$C$6:$C$998,IN!$Q$6:$Q$1000)</f>
        <v>0</v>
      </c>
      <c r="G30" s="46">
        <f>SUMIF(OUT!$Q$7:$Q$1000,REP!C30:$C$998,OUT!$U$7:$U$1000)</f>
        <v>1</v>
      </c>
      <c r="H30" s="47">
        <f t="shared" si="0"/>
        <v>7</v>
      </c>
      <c r="I30" s="52" t="s">
        <v>180</v>
      </c>
      <c r="J30" s="53"/>
    </row>
    <row r="31" spans="2:10" ht="15" customHeight="1" x14ac:dyDescent="0.2">
      <c r="B31" s="49">
        <v>26</v>
      </c>
      <c r="C31" s="51" t="s">
        <v>797</v>
      </c>
      <c r="D31" s="46">
        <v>2</v>
      </c>
      <c r="E31" s="46">
        <f>SUMIF(INV.!$D$6:$D$1000,REP!$C$6:$C$1000,INV.!$F$6:$F$1000)</f>
        <v>0</v>
      </c>
      <c r="F31" s="46">
        <f>SUMIF(IN!$L$6:$L$1000,REP!$C$6:$C$998,IN!$Q$6:$Q$1000)</f>
        <v>0</v>
      </c>
      <c r="G31" s="46">
        <f>SUMIF(OUT!$Q$7:$Q$1000,REP!C31:$C$998,OUT!$U$7:$U$1000)</f>
        <v>0</v>
      </c>
      <c r="H31" s="47">
        <f t="shared" si="0"/>
        <v>0</v>
      </c>
      <c r="I31" s="52" t="s">
        <v>64</v>
      </c>
      <c r="J31" s="53"/>
    </row>
    <row r="32" spans="2:10" ht="15" customHeight="1" x14ac:dyDescent="0.2">
      <c r="B32" s="49">
        <v>27</v>
      </c>
      <c r="C32" s="51" t="s">
        <v>798</v>
      </c>
      <c r="D32" s="46">
        <v>2</v>
      </c>
      <c r="E32" s="46">
        <f>SUMIF(INV.!$D$6:$D$1000,REP!$C$6:$C$1000,INV.!$F$6:$F$1000)</f>
        <v>1</v>
      </c>
      <c r="F32" s="46">
        <f>SUMIF(IN!$L$6:$L$1000,REP!$C$6:$C$998,IN!$Q$6:$Q$1000)</f>
        <v>0</v>
      </c>
      <c r="G32" s="46">
        <f>SUMIF(OUT!$Q$7:$Q$1000,REP!C32:$C$998,OUT!$U$7:$U$1000)</f>
        <v>0</v>
      </c>
      <c r="H32" s="47">
        <f t="shared" si="0"/>
        <v>1</v>
      </c>
      <c r="I32" s="52" t="s">
        <v>64</v>
      </c>
      <c r="J32" s="53"/>
    </row>
    <row r="33" spans="2:10" ht="15" customHeight="1" x14ac:dyDescent="0.2">
      <c r="B33" s="44">
        <v>28</v>
      </c>
      <c r="C33" s="51" t="s">
        <v>799</v>
      </c>
      <c r="D33" s="46">
        <v>2</v>
      </c>
      <c r="E33" s="46">
        <f>SUMIF(INV.!$D$6:$D$1000,REP!$C$6:$C$1000,INV.!$F$6:$F$1000)</f>
        <v>0</v>
      </c>
      <c r="F33" s="46">
        <f>SUMIF(IN!$L$6:$L$1000,REP!$C$6:$C$998,IN!$Q$6:$Q$1000)</f>
        <v>0</v>
      </c>
      <c r="G33" s="46">
        <f>SUMIF(OUT!$Q$7:$Q$1000,REP!C33:$C$998,OUT!$U$7:$U$1000)</f>
        <v>0</v>
      </c>
      <c r="H33" s="47">
        <f t="shared" si="0"/>
        <v>0</v>
      </c>
      <c r="I33" s="52" t="s">
        <v>64</v>
      </c>
      <c r="J33" s="53"/>
    </row>
    <row r="34" spans="2:10" ht="15" customHeight="1" x14ac:dyDescent="0.2">
      <c r="B34" s="49">
        <v>29</v>
      </c>
      <c r="C34" s="51" t="s">
        <v>800</v>
      </c>
      <c r="D34" s="46">
        <v>2</v>
      </c>
      <c r="E34" s="46">
        <f>SUMIF(INV.!$D$6:$D$1000,REP!$C$6:$C$1000,INV.!$F$6:$F$1000)</f>
        <v>0</v>
      </c>
      <c r="F34" s="46">
        <f>SUMIF(IN!$L$6:$L$1000,REP!$C$6:$C$998,IN!$Q$6:$Q$1000)</f>
        <v>0</v>
      </c>
      <c r="G34" s="46">
        <f>SUMIF(OUT!$Q$7:$Q$1000,REP!C34:$C$998,OUT!$U$7:$U$1000)</f>
        <v>0</v>
      </c>
      <c r="H34" s="47">
        <f t="shared" si="0"/>
        <v>0</v>
      </c>
      <c r="I34" s="52" t="s">
        <v>64</v>
      </c>
      <c r="J34" s="53"/>
    </row>
    <row r="35" spans="2:10" ht="15" customHeight="1" x14ac:dyDescent="0.2">
      <c r="B35" s="49">
        <v>30</v>
      </c>
      <c r="C35" s="51" t="s">
        <v>801</v>
      </c>
      <c r="D35" s="46">
        <v>4</v>
      </c>
      <c r="E35" s="46">
        <f>SUMIF(INV.!$D$6:$D$1000,REP!$C$6:$C$1000,INV.!$F$6:$F$1000)</f>
        <v>0</v>
      </c>
      <c r="F35" s="46">
        <f>SUMIF(IN!$L$6:$L$1000,REP!$C$6:$C$998,IN!$Q$6:$Q$1000)</f>
        <v>0</v>
      </c>
      <c r="G35" s="46">
        <f>SUMIF(OUT!$Q$7:$Q$1000,REP!C35:$C$998,OUT!$U$7:$U$1000)</f>
        <v>0</v>
      </c>
      <c r="H35" s="47">
        <f t="shared" si="0"/>
        <v>0</v>
      </c>
      <c r="I35" s="52" t="s">
        <v>64</v>
      </c>
      <c r="J35" s="53"/>
    </row>
    <row r="36" spans="2:10" ht="15" customHeight="1" x14ac:dyDescent="0.2">
      <c r="B36" s="44">
        <v>31</v>
      </c>
      <c r="C36" s="51" t="s">
        <v>802</v>
      </c>
      <c r="D36" s="46">
        <v>2</v>
      </c>
      <c r="E36" s="46">
        <f>SUMIF(INV.!$D$6:$D$1000,REP!$C$6:$C$1000,INV.!$F$6:$F$1000)</f>
        <v>0</v>
      </c>
      <c r="F36" s="46">
        <f>SUMIF(IN!$L$6:$L$1000,REP!$C$6:$C$998,IN!$Q$6:$Q$1000)</f>
        <v>0</v>
      </c>
      <c r="G36" s="46">
        <f>SUMIF(OUT!$Q$7:$Q$1000,REP!C36:$C$998,OUT!$U$7:$U$1000)</f>
        <v>0</v>
      </c>
      <c r="H36" s="47">
        <f t="shared" si="0"/>
        <v>0</v>
      </c>
      <c r="I36" s="52" t="s">
        <v>64</v>
      </c>
      <c r="J36" s="53"/>
    </row>
    <row r="37" spans="2:10" ht="15" customHeight="1" x14ac:dyDescent="0.2">
      <c r="B37" s="49">
        <v>32</v>
      </c>
      <c r="C37" s="51" t="s">
        <v>803</v>
      </c>
      <c r="D37" s="46">
        <v>2</v>
      </c>
      <c r="E37" s="46">
        <f>SUMIF(INV.!$D$6:$D$1000,REP!$C$6:$C$1000,INV.!$F$6:$F$1000)</f>
        <v>0</v>
      </c>
      <c r="F37" s="46">
        <f>SUMIF(IN!$L$6:$L$1000,REP!$C$6:$C$998,IN!$Q$6:$Q$1000)</f>
        <v>0</v>
      </c>
      <c r="G37" s="46">
        <f>SUMIF(OUT!$Q$7:$Q$1000,REP!C37:$C$998,OUT!$U$7:$U$1000)</f>
        <v>0</v>
      </c>
      <c r="H37" s="47">
        <f t="shared" si="0"/>
        <v>0</v>
      </c>
      <c r="I37" s="52" t="s">
        <v>64</v>
      </c>
      <c r="J37" s="53"/>
    </row>
    <row r="38" spans="2:10" ht="15" customHeight="1" x14ac:dyDescent="0.2">
      <c r="B38" s="49">
        <v>33</v>
      </c>
      <c r="C38" s="51" t="s">
        <v>804</v>
      </c>
      <c r="D38" s="46">
        <v>2</v>
      </c>
      <c r="E38" s="46">
        <f>SUMIF(INV.!$D$6:$D$1000,REP!$C$6:$C$1000,INV.!$F$6:$F$1000)</f>
        <v>0</v>
      </c>
      <c r="F38" s="46">
        <f>SUMIF(IN!$L$6:$L$1000,REP!$C$6:$C$998,IN!$Q$6:$Q$1000)</f>
        <v>0</v>
      </c>
      <c r="G38" s="46">
        <f>SUMIF(OUT!$Q$7:$Q$1000,REP!C38:$C$998,OUT!$U$7:$U$1000)</f>
        <v>0</v>
      </c>
      <c r="H38" s="47">
        <f t="shared" si="0"/>
        <v>0</v>
      </c>
      <c r="I38" s="52" t="s">
        <v>64</v>
      </c>
      <c r="J38" s="53"/>
    </row>
    <row r="39" spans="2:10" ht="15" customHeight="1" x14ac:dyDescent="0.2">
      <c r="B39" s="44">
        <v>34</v>
      </c>
      <c r="C39" s="51" t="s">
        <v>805</v>
      </c>
      <c r="D39" s="46">
        <v>2</v>
      </c>
      <c r="E39" s="46">
        <f>SUMIF(INV.!$D$6:$D$1000,REP!$C$6:$C$1000,INV.!$F$6:$F$1000)</f>
        <v>0</v>
      </c>
      <c r="F39" s="46">
        <f>SUMIF(IN!$L$6:$L$1000,REP!$C$6:$C$998,IN!$Q$6:$Q$1000)</f>
        <v>0</v>
      </c>
      <c r="G39" s="46">
        <f>SUMIF(OUT!$Q$7:$Q$1000,REP!C39:$C$998,OUT!$U$7:$U$1000)</f>
        <v>0</v>
      </c>
      <c r="H39" s="47">
        <f t="shared" si="0"/>
        <v>0</v>
      </c>
      <c r="I39" s="52" t="s">
        <v>64</v>
      </c>
      <c r="J39" s="53"/>
    </row>
    <row r="40" spans="2:10" ht="15" customHeight="1" x14ac:dyDescent="0.2">
      <c r="B40" s="49">
        <v>35</v>
      </c>
      <c r="C40" s="51" t="s">
        <v>806</v>
      </c>
      <c r="D40" s="46">
        <v>2</v>
      </c>
      <c r="E40" s="46">
        <f>SUMIF(INV.!$D$6:$D$1000,REP!$C$6:$C$1000,INV.!$F$6:$F$1000)</f>
        <v>0</v>
      </c>
      <c r="F40" s="46">
        <f>SUMIF(IN!$L$6:$L$1000,REP!$C$6:$C$998,IN!$Q$6:$Q$1000)</f>
        <v>0</v>
      </c>
      <c r="G40" s="46">
        <f>SUMIF(OUT!$Q$7:$Q$1000,REP!C40:$C$998,OUT!$U$7:$U$1000)</f>
        <v>0</v>
      </c>
      <c r="H40" s="47">
        <f t="shared" si="0"/>
        <v>0</v>
      </c>
      <c r="I40" s="52" t="s">
        <v>64</v>
      </c>
      <c r="J40" s="53"/>
    </row>
    <row r="41" spans="2:10" ht="15" customHeight="1" x14ac:dyDescent="0.2">
      <c r="B41" s="49">
        <v>36</v>
      </c>
      <c r="C41" s="13" t="s">
        <v>807</v>
      </c>
      <c r="D41" s="46">
        <v>3</v>
      </c>
      <c r="E41" s="46">
        <f>SUMIF(INV.!$D$6:$D$1000,REP!$C$6:$C$1000,INV.!$F$6:$F$1000)</f>
        <v>14</v>
      </c>
      <c r="F41" s="46">
        <f>SUMIF(IN!$L$6:$L$1000,REP!$C$6:$C$998,IN!$Q$6:$Q$1000)</f>
        <v>0</v>
      </c>
      <c r="G41" s="46">
        <f>SUMIF(OUT!$Q$7:$Q$1000,REP!C41:$C$998,OUT!$U$7:$U$1000)</f>
        <v>0</v>
      </c>
      <c r="H41" s="47">
        <f t="shared" si="0"/>
        <v>14</v>
      </c>
      <c r="I41" s="52" t="s">
        <v>64</v>
      </c>
      <c r="J41" s="53"/>
    </row>
    <row r="42" spans="2:10" ht="15" customHeight="1" x14ac:dyDescent="0.2">
      <c r="B42" s="44">
        <v>37</v>
      </c>
      <c r="C42" s="13" t="s">
        <v>1256</v>
      </c>
      <c r="D42" s="46">
        <v>3</v>
      </c>
      <c r="E42" s="46">
        <f>SUMIF(INV.!$D$6:$D$1000,REP!$C$6:$C$1000,INV.!$F$6:$F$1000)</f>
        <v>43</v>
      </c>
      <c r="F42" s="46">
        <f>SUMIF(IN!$L$6:$L$1000,REP!$C$6:$C$998,IN!$Q$6:$Q$1000)</f>
        <v>0</v>
      </c>
      <c r="G42" s="46">
        <f>SUMIF(OUT!$Q$7:$Q$1000,REP!C42:$C$998,OUT!$U$7:$U$1000)</f>
        <v>3</v>
      </c>
      <c r="H42" s="47">
        <f t="shared" si="0"/>
        <v>40</v>
      </c>
      <c r="I42" s="52" t="s">
        <v>64</v>
      </c>
      <c r="J42" s="53"/>
    </row>
    <row r="43" spans="2:10" ht="15" customHeight="1" x14ac:dyDescent="0.2">
      <c r="B43" s="49">
        <v>38</v>
      </c>
      <c r="C43" s="13" t="s">
        <v>808</v>
      </c>
      <c r="D43" s="46">
        <v>3</v>
      </c>
      <c r="E43" s="46">
        <f>SUMIF(INV.!$D$6:$D$1000,REP!$C$6:$C$1000,INV.!$F$6:$F$1000)</f>
        <v>9</v>
      </c>
      <c r="F43" s="46">
        <f>SUMIF(IN!$L$6:$L$1000,REP!$C$6:$C$998,IN!$Q$6:$Q$1000)</f>
        <v>0</v>
      </c>
      <c r="G43" s="46">
        <f>SUMIF(OUT!$Q$7:$Q$1000,REP!C43:$C$998,OUT!$U$7:$U$1000)</f>
        <v>0</v>
      </c>
      <c r="H43" s="47">
        <f t="shared" si="0"/>
        <v>9</v>
      </c>
      <c r="I43" s="52" t="s">
        <v>64</v>
      </c>
      <c r="J43" s="53"/>
    </row>
    <row r="44" spans="2:10" ht="15" customHeight="1" x14ac:dyDescent="0.2">
      <c r="B44" s="49">
        <v>39</v>
      </c>
      <c r="C44" s="13" t="s">
        <v>809</v>
      </c>
      <c r="D44" s="46">
        <v>3</v>
      </c>
      <c r="E44" s="46">
        <f>SUMIF(INV.!$D$6:$D$1000,REP!$C$6:$C$1000,INV.!$F$6:$F$1000)</f>
        <v>8</v>
      </c>
      <c r="F44" s="46">
        <f>SUMIF(IN!$L$6:$L$1000,REP!$C$6:$C$998,IN!$Q$6:$Q$1000)</f>
        <v>0</v>
      </c>
      <c r="G44" s="46">
        <f>SUMIF(OUT!$Q$7:$Q$1000,REP!C44:$C$998,OUT!$U$7:$U$1000)</f>
        <v>0</v>
      </c>
      <c r="H44" s="47">
        <f t="shared" si="0"/>
        <v>8</v>
      </c>
      <c r="I44" s="52" t="s">
        <v>64</v>
      </c>
      <c r="J44" s="53"/>
    </row>
    <row r="45" spans="2:10" ht="15" customHeight="1" x14ac:dyDescent="0.2">
      <c r="B45" s="44">
        <v>40</v>
      </c>
      <c r="C45" s="13" t="s">
        <v>810</v>
      </c>
      <c r="D45" s="46">
        <v>3</v>
      </c>
      <c r="E45" s="46">
        <f>SUMIF(INV.!$D$6:$D$1000,REP!$C$6:$C$1000,INV.!$F$6:$F$1000)</f>
        <v>10</v>
      </c>
      <c r="F45" s="46">
        <f>SUMIF(IN!$L$6:$L$1000,REP!$C$6:$C$998,IN!$Q$6:$Q$1000)</f>
        <v>0</v>
      </c>
      <c r="G45" s="46">
        <f>SUMIF(OUT!$Q$7:$Q$1000,REP!C45:$C$998,OUT!$U$7:$U$1000)</f>
        <v>0</v>
      </c>
      <c r="H45" s="47">
        <f t="shared" si="0"/>
        <v>10</v>
      </c>
      <c r="I45" s="52" t="s">
        <v>64</v>
      </c>
      <c r="J45" s="53"/>
    </row>
    <row r="46" spans="2:10" ht="15" customHeight="1" x14ac:dyDescent="0.2">
      <c r="B46" s="49">
        <v>41</v>
      </c>
      <c r="C46" s="13" t="s">
        <v>1257</v>
      </c>
      <c r="D46" s="46">
        <v>3</v>
      </c>
      <c r="E46" s="46">
        <f>SUMIF(INV.!$D$6:$D$1000,REP!$C$6:$C$1000,INV.!$F$6:$F$1000)</f>
        <v>10</v>
      </c>
      <c r="F46" s="46">
        <f>SUMIF(IN!$L$6:$L$1000,REP!$C$6:$C$998,IN!$Q$6:$Q$1000)</f>
        <v>0</v>
      </c>
      <c r="G46" s="46">
        <f>SUMIF(OUT!$Q$7:$Q$1000,REP!C46:$C$998,OUT!$U$7:$U$1000)</f>
        <v>0</v>
      </c>
      <c r="H46" s="47">
        <f t="shared" si="0"/>
        <v>10</v>
      </c>
      <c r="I46" s="52" t="s">
        <v>180</v>
      </c>
      <c r="J46" s="53"/>
    </row>
    <row r="47" spans="2:10" ht="15" customHeight="1" x14ac:dyDescent="0.2">
      <c r="B47" s="49">
        <v>42</v>
      </c>
      <c r="C47" s="13" t="s">
        <v>811</v>
      </c>
      <c r="D47" s="46">
        <v>6</v>
      </c>
      <c r="E47" s="46">
        <f>SUMIF(INV.!$D$6:$D$1000,REP!$C$6:$C$1000,INV.!$F$6:$F$1000)</f>
        <v>0</v>
      </c>
      <c r="F47" s="46">
        <f>SUMIF(IN!$L$6:$L$1000,REP!$C$6:$C$998,IN!$Q$6:$Q$1000)</f>
        <v>0</v>
      </c>
      <c r="G47" s="46">
        <f>SUMIF(OUT!$Q$7:$Q$1000,REP!C47:$C$998,OUT!$U$7:$U$1000)</f>
        <v>0</v>
      </c>
      <c r="H47" s="47">
        <f t="shared" si="0"/>
        <v>0</v>
      </c>
      <c r="I47" s="52" t="s">
        <v>64</v>
      </c>
      <c r="J47" s="53"/>
    </row>
    <row r="48" spans="2:10" ht="15" customHeight="1" x14ac:dyDescent="0.2">
      <c r="B48" s="44">
        <v>43</v>
      </c>
      <c r="C48" s="13" t="s">
        <v>812</v>
      </c>
      <c r="D48" s="46">
        <v>2</v>
      </c>
      <c r="E48" s="46">
        <f>SUMIF(INV.!$D$6:$D$1000,REP!$C$6:$C$1000,INV.!$F$6:$F$1000)</f>
        <v>0</v>
      </c>
      <c r="F48" s="46">
        <f>SUMIF(IN!$L$6:$L$1000,REP!$C$6:$C$998,IN!$Q$6:$Q$1000)</f>
        <v>0</v>
      </c>
      <c r="G48" s="46">
        <f>SUMIF(OUT!$Q$7:$Q$1000,REP!C48:$C$998,OUT!$U$7:$U$1000)</f>
        <v>0</v>
      </c>
      <c r="H48" s="47">
        <f t="shared" si="0"/>
        <v>0</v>
      </c>
      <c r="I48" s="52" t="s">
        <v>64</v>
      </c>
      <c r="J48" s="53"/>
    </row>
    <row r="49" spans="2:10" ht="15" customHeight="1" x14ac:dyDescent="0.2">
      <c r="B49" s="49">
        <v>44</v>
      </c>
      <c r="C49" s="13" t="s">
        <v>813</v>
      </c>
      <c r="D49" s="46">
        <v>7</v>
      </c>
      <c r="E49" s="46">
        <f>SUMIF(INV.!$D$6:$D$1000,REP!$C$6:$C$1000,INV.!$F$6:$F$1000)</f>
        <v>0</v>
      </c>
      <c r="F49" s="46">
        <f>SUMIF(IN!$L$6:$L$1000,REP!$C$6:$C$998,IN!$Q$6:$Q$1000)</f>
        <v>0</v>
      </c>
      <c r="G49" s="46">
        <f>SUMIF(OUT!$Q$7:$Q$1000,REP!C49:$C$998,OUT!$U$7:$U$1000)</f>
        <v>0</v>
      </c>
      <c r="H49" s="47">
        <f t="shared" si="0"/>
        <v>0</v>
      </c>
      <c r="I49" s="52" t="s">
        <v>64</v>
      </c>
      <c r="J49" s="53"/>
    </row>
    <row r="50" spans="2:10" ht="15" customHeight="1" x14ac:dyDescent="0.2">
      <c r="B50" s="49">
        <v>45</v>
      </c>
      <c r="C50" s="13" t="s">
        <v>814</v>
      </c>
      <c r="D50" s="46">
        <v>7</v>
      </c>
      <c r="E50" s="46">
        <f>SUMIF(INV.!$D$6:$D$1000,REP!$C$6:$C$1000,INV.!$F$6:$F$1000)</f>
        <v>0</v>
      </c>
      <c r="F50" s="46">
        <f>SUMIF(IN!$L$6:$L$1000,REP!$C$6:$C$998,IN!$Q$6:$Q$1000)</f>
        <v>0</v>
      </c>
      <c r="G50" s="46">
        <f>SUMIF(OUT!$Q$7:$Q$1000,REP!C50:$C$998,OUT!$U$7:$U$1000)</f>
        <v>0</v>
      </c>
      <c r="H50" s="47">
        <f t="shared" si="0"/>
        <v>0</v>
      </c>
      <c r="I50" s="52" t="s">
        <v>64</v>
      </c>
      <c r="J50" s="53"/>
    </row>
    <row r="51" spans="2:10" ht="15" customHeight="1" x14ac:dyDescent="0.2">
      <c r="B51" s="44">
        <v>46</v>
      </c>
      <c r="C51" s="13" t="s">
        <v>815</v>
      </c>
      <c r="D51" s="46">
        <v>2</v>
      </c>
      <c r="E51" s="46">
        <f>SUMIF(INV.!$D$6:$D$1000,REP!$C$6:$C$1000,INV.!$F$6:$F$1000)</f>
        <v>0</v>
      </c>
      <c r="F51" s="46">
        <f>SUMIF(IN!$L$6:$L$1000,REP!$C$6:$C$998,IN!$Q$6:$Q$1000)</f>
        <v>0</v>
      </c>
      <c r="G51" s="46">
        <f>SUMIF(OUT!$Q$7:$Q$1000,REP!C51:$C$998,OUT!$U$7:$U$1000)</f>
        <v>0</v>
      </c>
      <c r="H51" s="47">
        <f t="shared" si="0"/>
        <v>0</v>
      </c>
      <c r="I51" s="52" t="s">
        <v>64</v>
      </c>
      <c r="J51" s="53"/>
    </row>
    <row r="52" spans="2:10" ht="15" customHeight="1" x14ac:dyDescent="0.2">
      <c r="B52" s="49">
        <v>47</v>
      </c>
      <c r="C52" s="13" t="s">
        <v>816</v>
      </c>
      <c r="D52" s="46">
        <v>5</v>
      </c>
      <c r="E52" s="46">
        <f>SUMIF(INV.!$D$6:$D$1000,REP!$C$6:$C$1000,INV.!$F$6:$F$1000)</f>
        <v>0</v>
      </c>
      <c r="F52" s="46">
        <f>SUMIF(IN!$L$6:$L$1000,REP!$C$6:$C$998,IN!$Q$6:$Q$1000)</f>
        <v>0</v>
      </c>
      <c r="G52" s="46">
        <f>SUMIF(OUT!$Q$7:$Q$1000,REP!C52:$C$998,OUT!$U$7:$U$1000)</f>
        <v>0</v>
      </c>
      <c r="H52" s="47">
        <f t="shared" si="0"/>
        <v>0</v>
      </c>
      <c r="I52" s="52" t="s">
        <v>64</v>
      </c>
      <c r="J52" s="53"/>
    </row>
    <row r="53" spans="2:10" ht="15" customHeight="1" x14ac:dyDescent="0.2">
      <c r="B53" s="49">
        <v>48</v>
      </c>
      <c r="C53" s="13" t="s">
        <v>817</v>
      </c>
      <c r="D53" s="46">
        <v>2</v>
      </c>
      <c r="E53" s="46">
        <f>SUMIF(INV.!$D$6:$D$1000,REP!$C$6:$C$1000,INV.!$F$6:$F$1000)</f>
        <v>0</v>
      </c>
      <c r="F53" s="46">
        <f>SUMIF(IN!$L$6:$L$1000,REP!$C$6:$C$998,IN!$Q$6:$Q$1000)</f>
        <v>0</v>
      </c>
      <c r="G53" s="46">
        <f>SUMIF(OUT!$Q$7:$Q$1000,REP!C53:$C$998,OUT!$U$7:$U$1000)</f>
        <v>0</v>
      </c>
      <c r="H53" s="47">
        <f t="shared" si="0"/>
        <v>0</v>
      </c>
      <c r="I53" s="52" t="s">
        <v>64</v>
      </c>
      <c r="J53" s="53"/>
    </row>
    <row r="54" spans="2:10" ht="15" customHeight="1" x14ac:dyDescent="0.2">
      <c r="B54" s="44">
        <v>49</v>
      </c>
      <c r="C54" s="13" t="s">
        <v>818</v>
      </c>
      <c r="D54" s="46">
        <v>6</v>
      </c>
      <c r="E54" s="46">
        <f>SUMIF(INV.!$D$6:$D$1000,REP!$C$6:$C$1000,INV.!$F$6:$F$1000)</f>
        <v>0</v>
      </c>
      <c r="F54" s="46">
        <f>SUMIF(IN!$L$6:$L$1000,REP!$C$6:$C$998,IN!$Q$6:$Q$1000)</f>
        <v>4</v>
      </c>
      <c r="G54" s="46">
        <f>SUMIF(OUT!$Q$7:$Q$1000,REP!C54:$C$998,OUT!$U$7:$U$1000)</f>
        <v>0</v>
      </c>
      <c r="H54" s="47">
        <f t="shared" si="0"/>
        <v>4</v>
      </c>
      <c r="I54" s="52" t="s">
        <v>64</v>
      </c>
      <c r="J54" s="53"/>
    </row>
    <row r="55" spans="2:10" ht="15" customHeight="1" x14ac:dyDescent="0.2">
      <c r="B55" s="49">
        <v>50</v>
      </c>
      <c r="C55" s="13" t="s">
        <v>819</v>
      </c>
      <c r="D55" s="46">
        <v>8</v>
      </c>
      <c r="E55" s="46">
        <f>SUMIF(INV.!$D$6:$D$1000,REP!$C$6:$C$1000,INV.!$F$6:$F$1000)</f>
        <v>0</v>
      </c>
      <c r="F55" s="46">
        <f>SUMIF(IN!$L$6:$L$1000,REP!$C$6:$C$998,IN!$Q$6:$Q$1000)</f>
        <v>0</v>
      </c>
      <c r="G55" s="46">
        <f>SUMIF(OUT!$Q$7:$Q$1000,REP!C55:$C$998,OUT!$U$7:$U$1000)</f>
        <v>0</v>
      </c>
      <c r="H55" s="47">
        <f t="shared" si="0"/>
        <v>0</v>
      </c>
      <c r="I55" s="52" t="s">
        <v>64</v>
      </c>
      <c r="J55" s="53"/>
    </row>
    <row r="56" spans="2:10" ht="15" customHeight="1" x14ac:dyDescent="0.2">
      <c r="B56" s="49">
        <v>51</v>
      </c>
      <c r="C56" s="13" t="s">
        <v>820</v>
      </c>
      <c r="D56" s="46">
        <v>4</v>
      </c>
      <c r="E56" s="46">
        <f>SUMIF(INV.!$D$6:$D$1000,REP!$C$6:$C$1000,INV.!$F$6:$F$1000)</f>
        <v>0</v>
      </c>
      <c r="F56" s="46">
        <f>SUMIF(IN!$L$6:$L$1000,REP!$C$6:$C$998,IN!$Q$6:$Q$1000)</f>
        <v>0</v>
      </c>
      <c r="G56" s="46">
        <f>SUMIF(OUT!$Q$7:$Q$1000,REP!C56:$C$998,OUT!$U$7:$U$1000)</f>
        <v>0</v>
      </c>
      <c r="H56" s="47">
        <f t="shared" si="0"/>
        <v>0</v>
      </c>
      <c r="I56" s="52" t="s">
        <v>64</v>
      </c>
      <c r="J56" s="53"/>
    </row>
    <row r="57" spans="2:10" ht="15" customHeight="1" x14ac:dyDescent="0.2">
      <c r="B57" s="44">
        <v>52</v>
      </c>
      <c r="C57" s="13" t="s">
        <v>821</v>
      </c>
      <c r="D57" s="46">
        <v>9</v>
      </c>
      <c r="E57" s="46">
        <f>SUMIF(INV.!$D$6:$D$1000,REP!$C$6:$C$1000,INV.!$F$6:$F$1000)</f>
        <v>0</v>
      </c>
      <c r="F57" s="46">
        <f>SUMIF(IN!$L$6:$L$1000,REP!$C$6:$C$998,IN!$Q$6:$Q$1000)</f>
        <v>0</v>
      </c>
      <c r="G57" s="46">
        <f>SUMIF(OUT!$Q$7:$Q$1000,REP!C57:$C$998,OUT!$U$7:$U$1000)</f>
        <v>0</v>
      </c>
      <c r="H57" s="47">
        <f t="shared" si="0"/>
        <v>0</v>
      </c>
      <c r="I57" s="52" t="s">
        <v>64</v>
      </c>
      <c r="J57" s="53"/>
    </row>
    <row r="58" spans="2:10" ht="15" customHeight="1" x14ac:dyDescent="0.2">
      <c r="B58" s="49">
        <v>53</v>
      </c>
      <c r="C58" s="13" t="s">
        <v>822</v>
      </c>
      <c r="D58" s="46">
        <v>11</v>
      </c>
      <c r="E58" s="46">
        <f>SUMIF(INV.!$D$6:$D$1000,REP!$C$6:$C$1000,INV.!$F$6:$F$1000)</f>
        <v>0</v>
      </c>
      <c r="F58" s="46">
        <f>SUMIF(IN!$L$6:$L$1000,REP!$C$6:$C$998,IN!$Q$6:$Q$1000)</f>
        <v>0</v>
      </c>
      <c r="G58" s="46">
        <f>SUMIF(OUT!$Q$7:$Q$1000,REP!C58:$C$998,OUT!$U$7:$U$1000)</f>
        <v>0</v>
      </c>
      <c r="H58" s="47">
        <f t="shared" si="0"/>
        <v>0</v>
      </c>
      <c r="I58" s="52" t="s">
        <v>64</v>
      </c>
      <c r="J58" s="53"/>
    </row>
    <row r="59" spans="2:10" ht="15" customHeight="1" x14ac:dyDescent="0.2">
      <c r="B59" s="49">
        <v>54</v>
      </c>
      <c r="C59" s="13" t="s">
        <v>823</v>
      </c>
      <c r="D59" s="46">
        <v>2</v>
      </c>
      <c r="E59" s="46">
        <f>SUMIF(INV.!$D$6:$D$1000,REP!$C$6:$C$1000,INV.!$F$6:$F$1000)</f>
        <v>0</v>
      </c>
      <c r="F59" s="46">
        <f>SUMIF(IN!$L$6:$L$1000,REP!$C$6:$C$998,IN!$Q$6:$Q$1000)</f>
        <v>0</v>
      </c>
      <c r="G59" s="46">
        <f>SUMIF(OUT!$Q$7:$Q$1000,REP!C59:$C$998,OUT!$U$7:$U$1000)</f>
        <v>0</v>
      </c>
      <c r="H59" s="47">
        <f t="shared" si="0"/>
        <v>0</v>
      </c>
      <c r="I59" s="52" t="s">
        <v>64</v>
      </c>
      <c r="J59" s="53"/>
    </row>
    <row r="60" spans="2:10" ht="15" customHeight="1" x14ac:dyDescent="0.2">
      <c r="B60" s="44">
        <v>55</v>
      </c>
      <c r="C60" s="13" t="s">
        <v>824</v>
      </c>
      <c r="D60" s="46">
        <v>16</v>
      </c>
      <c r="E60" s="46">
        <f>SUMIF(INV.!$D$6:$D$1000,REP!$C$6:$C$1000,INV.!$F$6:$F$1000)</f>
        <v>0</v>
      </c>
      <c r="F60" s="46">
        <f>SUMIF(IN!$L$6:$L$1000,REP!$C$6:$C$998,IN!$Q$6:$Q$1000)</f>
        <v>0</v>
      </c>
      <c r="G60" s="46">
        <f>SUMIF(OUT!$Q$7:$Q$1000,REP!C60:$C$998,OUT!$U$7:$U$1000)</f>
        <v>0</v>
      </c>
      <c r="H60" s="47">
        <f t="shared" si="0"/>
        <v>0</v>
      </c>
      <c r="I60" s="52" t="s">
        <v>64</v>
      </c>
      <c r="J60" s="53"/>
    </row>
    <row r="61" spans="2:10" ht="15" customHeight="1" x14ac:dyDescent="0.2">
      <c r="B61" s="49">
        <v>56</v>
      </c>
      <c r="C61" s="13" t="s">
        <v>825</v>
      </c>
      <c r="D61" s="46">
        <v>4</v>
      </c>
      <c r="E61" s="46">
        <f>SUMIF(INV.!$D$6:$D$1000,REP!$C$6:$C$1000,INV.!$F$6:$F$1000)</f>
        <v>0</v>
      </c>
      <c r="F61" s="46">
        <f>SUMIF(IN!$L$6:$L$1000,REP!$C$6:$C$998,IN!$Q$6:$Q$1000)</f>
        <v>0</v>
      </c>
      <c r="G61" s="46">
        <f>SUMIF(OUT!$Q$7:$Q$1000,REP!C61:$C$998,OUT!$U$7:$U$1000)</f>
        <v>0</v>
      </c>
      <c r="H61" s="47">
        <f t="shared" si="0"/>
        <v>0</v>
      </c>
      <c r="I61" s="52" t="s">
        <v>64</v>
      </c>
      <c r="J61" s="53"/>
    </row>
    <row r="62" spans="2:10" ht="15" customHeight="1" x14ac:dyDescent="0.2">
      <c r="B62" s="49">
        <v>57</v>
      </c>
      <c r="C62" s="13" t="s">
        <v>826</v>
      </c>
      <c r="D62" s="46">
        <v>3</v>
      </c>
      <c r="E62" s="46">
        <f>SUMIF(INV.!$D$6:$D$1000,REP!$C$6:$C$1000,INV.!$F$6:$F$1000)</f>
        <v>0</v>
      </c>
      <c r="F62" s="46">
        <f>SUMIF(IN!$L$6:$L$1000,REP!$C$6:$C$998,IN!$Q$6:$Q$1000)</f>
        <v>0</v>
      </c>
      <c r="G62" s="46">
        <f>SUMIF(OUT!$Q$7:$Q$1000,REP!C62:$C$998,OUT!$U$7:$U$1000)</f>
        <v>0</v>
      </c>
      <c r="H62" s="47">
        <f t="shared" si="0"/>
        <v>0</v>
      </c>
      <c r="I62" s="52" t="s">
        <v>64</v>
      </c>
      <c r="J62" s="53"/>
    </row>
    <row r="63" spans="2:10" ht="15" customHeight="1" x14ac:dyDescent="0.2">
      <c r="B63" s="44">
        <v>58</v>
      </c>
      <c r="C63" s="13" t="s">
        <v>827</v>
      </c>
      <c r="D63" s="46">
        <v>2</v>
      </c>
      <c r="E63" s="46">
        <f>SUMIF(INV.!$D$6:$D$1000,REP!$C$6:$C$1000,INV.!$F$6:$F$1000)</f>
        <v>0</v>
      </c>
      <c r="F63" s="46">
        <f>SUMIF(IN!$L$6:$L$1000,REP!$C$6:$C$998,IN!$Q$6:$Q$1000)</f>
        <v>0</v>
      </c>
      <c r="G63" s="46">
        <f>SUMIF(OUT!$Q$7:$Q$1000,REP!C63:$C$998,OUT!$U$7:$U$1000)</f>
        <v>0</v>
      </c>
      <c r="H63" s="47">
        <f t="shared" si="0"/>
        <v>0</v>
      </c>
      <c r="I63" s="52" t="s">
        <v>64</v>
      </c>
      <c r="J63" s="53"/>
    </row>
    <row r="64" spans="2:10" ht="15" customHeight="1" x14ac:dyDescent="0.2">
      <c r="B64" s="49">
        <v>59</v>
      </c>
      <c r="C64" s="13" t="s">
        <v>828</v>
      </c>
      <c r="D64" s="46">
        <v>0</v>
      </c>
      <c r="E64" s="46">
        <f>SUMIF(INV.!$D$6:$D$1000,REP!$C$6:$C$1000,INV.!$F$6:$F$1000)</f>
        <v>0</v>
      </c>
      <c r="F64" s="46">
        <f>SUMIF(IN!$L$6:$L$1000,REP!$C$6:$C$998,IN!$Q$6:$Q$1000)</f>
        <v>0</v>
      </c>
      <c r="G64" s="46">
        <f>SUMIF(OUT!$Q$7:$Q$1000,REP!C64:$C$998,OUT!$U$7:$U$1000)</f>
        <v>0</v>
      </c>
      <c r="H64" s="47">
        <f t="shared" si="0"/>
        <v>0</v>
      </c>
      <c r="I64" s="52" t="s">
        <v>64</v>
      </c>
      <c r="J64" s="53"/>
    </row>
    <row r="65" spans="2:10" ht="15" customHeight="1" x14ac:dyDescent="0.2">
      <c r="B65" s="49">
        <v>60</v>
      </c>
      <c r="C65" s="13" t="s">
        <v>829</v>
      </c>
      <c r="D65" s="46">
        <v>0</v>
      </c>
      <c r="E65" s="46">
        <f>SUMIF(INV.!$D$6:$D$1000,REP!$C$6:$C$1000,INV.!$F$6:$F$1000)</f>
        <v>0</v>
      </c>
      <c r="F65" s="46">
        <f>SUMIF(IN!$L$6:$L$1000,REP!$C$6:$C$998,IN!$Q$6:$Q$1000)</f>
        <v>0</v>
      </c>
      <c r="G65" s="46">
        <f>SUMIF(OUT!$Q$7:$Q$1000,REP!C65:$C$998,OUT!$U$7:$U$1000)</f>
        <v>0</v>
      </c>
      <c r="H65" s="47">
        <f t="shared" si="0"/>
        <v>0</v>
      </c>
      <c r="I65" s="52" t="s">
        <v>64</v>
      </c>
      <c r="J65" s="53"/>
    </row>
    <row r="66" spans="2:10" ht="15" customHeight="1" x14ac:dyDescent="0.2">
      <c r="B66" s="44">
        <v>61</v>
      </c>
      <c r="C66" s="13" t="s">
        <v>830</v>
      </c>
      <c r="D66" s="46">
        <v>1240</v>
      </c>
      <c r="E66" s="46">
        <f>SUMIF(INV.!$D$6:$D$1000,REP!$C$6:$C$1000,INV.!$F$6:$F$1000)</f>
        <v>0</v>
      </c>
      <c r="F66" s="46">
        <f>SUMIF(IN!$L$6:$L$1000,REP!$C$6:$C$998,IN!$Q$6:$Q$1000)</f>
        <v>2060.5</v>
      </c>
      <c r="G66" s="46">
        <f>SUMIF(OUT!$Q$7:$Q$1000,REP!C66:$C$998,OUT!$U$7:$U$1000)</f>
        <v>1256</v>
      </c>
      <c r="H66" s="47">
        <f t="shared" si="0"/>
        <v>804.5</v>
      </c>
      <c r="I66" s="28" t="s">
        <v>778</v>
      </c>
      <c r="J66" s="53"/>
    </row>
    <row r="67" spans="2:10" ht="15" customHeight="1" x14ac:dyDescent="0.2">
      <c r="B67" s="49">
        <v>62</v>
      </c>
      <c r="C67" s="13" t="s">
        <v>831</v>
      </c>
      <c r="D67" s="46">
        <v>2</v>
      </c>
      <c r="E67" s="46">
        <f>SUMIF(INV.!$D$6:$D$1000,REP!$C$6:$C$1000,INV.!$F$6:$F$1000)</f>
        <v>0</v>
      </c>
      <c r="F67" s="46">
        <f>SUMIF(IN!$L$6:$L$1000,REP!$C$6:$C$998,IN!$Q$6:$Q$1000)</f>
        <v>0</v>
      </c>
      <c r="G67" s="46">
        <f>SUMIF(OUT!$Q$7:$Q$1000,REP!C67:$C$998,OUT!$U$7:$U$1000)</f>
        <v>0</v>
      </c>
      <c r="H67" s="47">
        <f t="shared" si="0"/>
        <v>0</v>
      </c>
      <c r="I67" s="52" t="s">
        <v>64</v>
      </c>
      <c r="J67" s="53"/>
    </row>
    <row r="68" spans="2:10" ht="15" customHeight="1" x14ac:dyDescent="0.2">
      <c r="B68" s="49">
        <v>63</v>
      </c>
      <c r="C68" s="13" t="s">
        <v>832</v>
      </c>
      <c r="D68" s="46">
        <v>0</v>
      </c>
      <c r="E68" s="46">
        <f>SUMIF(INV.!$D$6:$D$1000,REP!$C$6:$C$1000,INV.!$F$6:$F$1000)</f>
        <v>0</v>
      </c>
      <c r="F68" s="46">
        <f>SUMIF(IN!$L$6:$L$1000,REP!$C$6:$C$998,IN!$Q$6:$Q$1000)</f>
        <v>0</v>
      </c>
      <c r="G68" s="46">
        <f>SUMIF(OUT!$Q$7:$Q$1000,REP!C68:$C$998,OUT!$U$7:$U$1000)</f>
        <v>0</v>
      </c>
      <c r="H68" s="47">
        <f t="shared" si="0"/>
        <v>0</v>
      </c>
      <c r="I68" s="52" t="s">
        <v>64</v>
      </c>
      <c r="J68" s="53"/>
    </row>
    <row r="69" spans="2:10" ht="15" customHeight="1" x14ac:dyDescent="0.2">
      <c r="B69" s="44">
        <v>64</v>
      </c>
      <c r="C69" s="13" t="s">
        <v>833</v>
      </c>
      <c r="D69" s="46">
        <v>12</v>
      </c>
      <c r="E69" s="46">
        <f>SUMIF(INV.!$D$6:$D$1000,REP!$C$6:$C$1000,INV.!$F$6:$F$1000)</f>
        <v>0</v>
      </c>
      <c r="F69" s="46">
        <f>SUMIF(IN!$L$6:$L$1000,REP!$C$6:$C$998,IN!$Q$6:$Q$1000)</f>
        <v>16</v>
      </c>
      <c r="G69" s="46">
        <f>SUMIF(OUT!$Q$7:$Q$1000,REP!C69:$C$998,OUT!$U$7:$U$1000)</f>
        <v>13</v>
      </c>
      <c r="H69" s="47">
        <f t="shared" si="0"/>
        <v>3</v>
      </c>
      <c r="I69" s="28" t="s">
        <v>778</v>
      </c>
      <c r="J69" s="53"/>
    </row>
    <row r="70" spans="2:10" ht="15" customHeight="1" x14ac:dyDescent="0.2">
      <c r="B70" s="49">
        <v>65</v>
      </c>
      <c r="C70" s="13" t="s">
        <v>834</v>
      </c>
      <c r="D70" s="46">
        <v>4</v>
      </c>
      <c r="E70" s="46">
        <f>SUMIF(INV.!$D$6:$D$1000,REP!$C$6:$C$1000,INV.!$F$6:$F$1000)</f>
        <v>1</v>
      </c>
      <c r="F70" s="46">
        <f>SUMIF(IN!$L$6:$L$1000,REP!$C$6:$C$998,IN!$Q$6:$Q$1000)</f>
        <v>0</v>
      </c>
      <c r="G70" s="46">
        <f>SUMIF(OUT!$Q$7:$Q$1000,REP!C70:$C$998,OUT!$U$7:$U$1000)</f>
        <v>0</v>
      </c>
      <c r="H70" s="47">
        <f t="shared" si="0"/>
        <v>1</v>
      </c>
      <c r="I70" s="52" t="s">
        <v>64</v>
      </c>
      <c r="J70" s="53"/>
    </row>
    <row r="71" spans="2:10" ht="15" customHeight="1" x14ac:dyDescent="0.2">
      <c r="B71" s="49">
        <v>66</v>
      </c>
      <c r="C71" s="13" t="s">
        <v>835</v>
      </c>
      <c r="D71" s="46">
        <v>20</v>
      </c>
      <c r="E71" s="46">
        <f>SUMIF(INV.!$D$6:$D$1000,REP!$C$6:$C$1000,INV.!$F$6:$F$1000)</f>
        <v>3</v>
      </c>
      <c r="F71" s="46">
        <f>SUMIF(IN!$L$6:$L$1000,REP!$C$6:$C$998,IN!$Q$6:$Q$1000)</f>
        <v>0</v>
      </c>
      <c r="G71" s="46">
        <f>SUMIF(OUT!$Q$7:$Q$1000,REP!C71:$C$998,OUT!$U$7:$U$1000)</f>
        <v>0</v>
      </c>
      <c r="H71" s="47">
        <f t="shared" ref="H71:H118" si="1">E71+F71-G71</f>
        <v>3</v>
      </c>
      <c r="I71" s="52" t="s">
        <v>64</v>
      </c>
      <c r="J71" s="53"/>
    </row>
    <row r="72" spans="2:10" ht="15" customHeight="1" x14ac:dyDescent="0.2">
      <c r="B72" s="44">
        <v>67</v>
      </c>
      <c r="C72" s="13" t="s">
        <v>836</v>
      </c>
      <c r="D72" s="46">
        <v>2</v>
      </c>
      <c r="E72" s="46">
        <f>SUMIF(INV.!$D$6:$D$1000,REP!$C$6:$C$1000,INV.!$F$6:$F$1000)</f>
        <v>0</v>
      </c>
      <c r="F72" s="46">
        <f>SUMIF(IN!$L$6:$L$1000,REP!$C$6:$C$998,IN!$Q$6:$Q$1000)</f>
        <v>0</v>
      </c>
      <c r="G72" s="46">
        <f>SUMIF(OUT!$Q$7:$Q$1000,REP!C72:$C$998,OUT!$U$7:$U$1000)</f>
        <v>0</v>
      </c>
      <c r="H72" s="47">
        <f t="shared" si="1"/>
        <v>0</v>
      </c>
      <c r="I72" s="52" t="s">
        <v>64</v>
      </c>
      <c r="J72" s="53"/>
    </row>
    <row r="73" spans="2:10" ht="15" customHeight="1" x14ac:dyDescent="0.2">
      <c r="B73" s="49">
        <v>68</v>
      </c>
      <c r="C73" s="13" t="s">
        <v>837</v>
      </c>
      <c r="D73" s="46">
        <v>70</v>
      </c>
      <c r="E73" s="46">
        <f>SUMIF(INV.!$D$6:$D$1000,REP!$C$6:$C$1000,INV.!$F$6:$F$1000)</f>
        <v>0</v>
      </c>
      <c r="F73" s="46">
        <f>SUMIF(IN!$L$6:$L$1000,REP!$C$6:$C$998,IN!$Q$6:$Q$1000)</f>
        <v>0</v>
      </c>
      <c r="G73" s="46">
        <f>SUMIF(OUT!$Q$7:$Q$1000,REP!C73:$C$998,OUT!$U$7:$U$1000)</f>
        <v>0</v>
      </c>
      <c r="H73" s="47">
        <f t="shared" si="1"/>
        <v>0</v>
      </c>
      <c r="I73" s="52" t="s">
        <v>64</v>
      </c>
      <c r="J73" s="53"/>
    </row>
    <row r="74" spans="2:10" ht="15" customHeight="1" x14ac:dyDescent="0.2">
      <c r="B74" s="49">
        <v>69</v>
      </c>
      <c r="C74" s="13" t="s">
        <v>838</v>
      </c>
      <c r="D74" s="46">
        <v>0</v>
      </c>
      <c r="E74" s="46">
        <f>SUMIF(INV.!$D$6:$D$1000,REP!$C$6:$C$1000,INV.!$F$6:$F$1000)</f>
        <v>0</v>
      </c>
      <c r="F74" s="46">
        <f>SUMIF(IN!$L$6:$L$1000,REP!$C$6:$C$998,IN!$Q$6:$Q$1000)</f>
        <v>0</v>
      </c>
      <c r="G74" s="46">
        <f>SUMIF(OUT!$Q$7:$Q$1000,REP!C74:$C$998,OUT!$U$7:$U$1000)</f>
        <v>0</v>
      </c>
      <c r="H74" s="47">
        <f t="shared" si="1"/>
        <v>0</v>
      </c>
      <c r="I74" s="52" t="s">
        <v>839</v>
      </c>
      <c r="J74" s="53"/>
    </row>
    <row r="75" spans="2:10" ht="15" customHeight="1" x14ac:dyDescent="0.2">
      <c r="B75" s="44">
        <v>70</v>
      </c>
      <c r="C75" s="13" t="s">
        <v>840</v>
      </c>
      <c r="D75" s="46">
        <v>0</v>
      </c>
      <c r="E75" s="46">
        <f>SUMIF(INV.!$D$6:$D$1000,REP!$C$6:$C$1000,INV.!$F$6:$F$1000)</f>
        <v>0</v>
      </c>
      <c r="F75" s="46">
        <f>SUMIF(IN!$L$6:$L$1000,REP!$C$6:$C$998,IN!$Q$6:$Q$1000)</f>
        <v>0</v>
      </c>
      <c r="G75" s="46">
        <f>SUMIF(OUT!$Q$7:$Q$1000,REP!C75:$C$998,OUT!$U$7:$U$1000)</f>
        <v>0</v>
      </c>
      <c r="H75" s="47">
        <f t="shared" si="1"/>
        <v>0</v>
      </c>
      <c r="I75" s="52" t="s">
        <v>839</v>
      </c>
      <c r="J75" s="53"/>
    </row>
    <row r="76" spans="2:10" ht="15" customHeight="1" x14ac:dyDescent="0.2">
      <c r="B76" s="49">
        <v>71</v>
      </c>
      <c r="C76" s="13" t="s">
        <v>1166</v>
      </c>
      <c r="D76" s="46">
        <v>1</v>
      </c>
      <c r="E76" s="46">
        <f>SUMIF(INV.!$D$6:$D$1000,REP!$C$6:$C$1000,INV.!$F$6:$F$1000)</f>
        <v>1</v>
      </c>
      <c r="F76" s="46">
        <f>SUMIF(IN!$L$6:$L$1000,REP!$C$6:$C$998,IN!$Q$6:$Q$1000)</f>
        <v>0</v>
      </c>
      <c r="G76" s="46">
        <f>SUMIF(OUT!$Q$7:$Q$1000,REP!C76:$C$998,OUT!$U$7:$U$1000)</f>
        <v>0</v>
      </c>
      <c r="H76" s="47">
        <f t="shared" si="1"/>
        <v>1</v>
      </c>
      <c r="I76" s="52" t="s">
        <v>64</v>
      </c>
      <c r="J76" s="53"/>
    </row>
    <row r="77" spans="2:10" ht="15" customHeight="1" x14ac:dyDescent="0.2">
      <c r="B77" s="49">
        <v>72</v>
      </c>
      <c r="C77" s="13" t="s">
        <v>841</v>
      </c>
      <c r="D77" s="46">
        <v>1</v>
      </c>
      <c r="E77" s="46">
        <f>SUMIF(INV.!$D$6:$D$1000,REP!$C$6:$C$1000,INV.!$F$6:$F$1000)</f>
        <v>0</v>
      </c>
      <c r="F77" s="46">
        <f>SUMIF(IN!$L$6:$L$1000,REP!$C$6:$C$998,IN!$Q$6:$Q$1000)</f>
        <v>0</v>
      </c>
      <c r="G77" s="46">
        <f>SUMIF(OUT!$Q$7:$Q$1000,REP!C77:$C$998,OUT!$U$7:$U$1000)</f>
        <v>0</v>
      </c>
      <c r="H77" s="47">
        <f t="shared" si="1"/>
        <v>0</v>
      </c>
      <c r="I77" s="52" t="s">
        <v>64</v>
      </c>
      <c r="J77" s="53"/>
    </row>
    <row r="78" spans="2:10" ht="15" customHeight="1" x14ac:dyDescent="0.2">
      <c r="B78" s="44">
        <v>73</v>
      </c>
      <c r="C78" s="13" t="s">
        <v>842</v>
      </c>
      <c r="D78" s="46">
        <v>0</v>
      </c>
      <c r="E78" s="46">
        <f>SUMIF(INV.!$D$6:$D$1000,REP!$C$6:$C$1000,INV.!$F$6:$F$1000)</f>
        <v>0</v>
      </c>
      <c r="F78" s="46">
        <f>SUMIF(IN!$L$6:$L$1000,REP!$C$6:$C$998,IN!$Q$6:$Q$1000)</f>
        <v>0</v>
      </c>
      <c r="G78" s="46">
        <f>SUMIF(OUT!$Q$7:$Q$1000,REP!C78:$C$998,OUT!$U$7:$U$1000)</f>
        <v>0</v>
      </c>
      <c r="H78" s="47">
        <f t="shared" si="1"/>
        <v>0</v>
      </c>
      <c r="I78" s="52" t="s">
        <v>64</v>
      </c>
      <c r="J78" s="53"/>
    </row>
    <row r="79" spans="2:10" ht="15" customHeight="1" x14ac:dyDescent="0.2">
      <c r="B79" s="49">
        <v>74</v>
      </c>
      <c r="C79" s="13" t="s">
        <v>843</v>
      </c>
      <c r="D79" s="46">
        <v>2</v>
      </c>
      <c r="E79" s="46">
        <f>SUMIF(INV.!$D$6:$D$1000,REP!$C$6:$C$1000,INV.!$F$6:$F$1000)</f>
        <v>0</v>
      </c>
      <c r="F79" s="46">
        <f>SUMIF(IN!$L$6:$L$1000,REP!$C$6:$C$998,IN!$Q$6:$Q$1000)</f>
        <v>0</v>
      </c>
      <c r="G79" s="46">
        <f>SUMIF(OUT!$Q$7:$Q$1000,REP!C79:$C$998,OUT!$U$7:$U$1000)</f>
        <v>0</v>
      </c>
      <c r="H79" s="47">
        <f t="shared" si="1"/>
        <v>0</v>
      </c>
      <c r="I79" s="52" t="s">
        <v>64</v>
      </c>
      <c r="J79" s="53"/>
    </row>
    <row r="80" spans="2:10" ht="15" customHeight="1" x14ac:dyDescent="0.2">
      <c r="B80" s="49">
        <v>75</v>
      </c>
      <c r="C80" s="13" t="s">
        <v>844</v>
      </c>
      <c r="D80" s="46">
        <v>1</v>
      </c>
      <c r="E80" s="46">
        <f>SUMIF(INV.!$D$6:$D$1000,REP!$C$6:$C$1000,INV.!$F$6:$F$1000)</f>
        <v>0</v>
      </c>
      <c r="F80" s="46">
        <f>SUMIF(IN!$L$6:$L$1000,REP!$C$6:$C$998,IN!$Q$6:$Q$1000)</f>
        <v>0</v>
      </c>
      <c r="G80" s="46">
        <f>SUMIF(OUT!$Q$7:$Q$1000,REP!C80:$C$998,OUT!$U$7:$U$1000)</f>
        <v>0</v>
      </c>
      <c r="H80" s="47">
        <f t="shared" si="1"/>
        <v>0</v>
      </c>
      <c r="I80" s="52" t="s">
        <v>64</v>
      </c>
      <c r="J80" s="53"/>
    </row>
    <row r="81" spans="2:10" ht="15" customHeight="1" x14ac:dyDescent="0.2">
      <c r="B81" s="44">
        <v>76</v>
      </c>
      <c r="C81" s="13" t="s">
        <v>845</v>
      </c>
      <c r="D81" s="46">
        <v>2</v>
      </c>
      <c r="E81" s="46">
        <f>SUMIF(INV.!$D$6:$D$1000,REP!$C$6:$C$1000,INV.!$F$6:$F$1000)</f>
        <v>1</v>
      </c>
      <c r="F81" s="46">
        <f>SUMIF(IN!$L$6:$L$1000,REP!$C$6:$C$998,IN!$Q$6:$Q$1000)</f>
        <v>0</v>
      </c>
      <c r="G81" s="46">
        <f>SUMIF(OUT!$Q$7:$Q$1000,REP!C81:$C$998,OUT!$U$7:$U$1000)</f>
        <v>0</v>
      </c>
      <c r="H81" s="47">
        <f t="shared" si="1"/>
        <v>1</v>
      </c>
      <c r="I81" s="52" t="s">
        <v>64</v>
      </c>
      <c r="J81" s="53"/>
    </row>
    <row r="82" spans="2:10" ht="15" customHeight="1" x14ac:dyDescent="0.2">
      <c r="B82" s="49">
        <v>77</v>
      </c>
      <c r="C82" s="13" t="s">
        <v>846</v>
      </c>
      <c r="D82" s="46">
        <v>1</v>
      </c>
      <c r="E82" s="46">
        <f>SUMIF(INV.!$D$6:$D$1000,REP!$C$6:$C$1000,INV.!$F$6:$F$1000)</f>
        <v>1</v>
      </c>
      <c r="F82" s="46">
        <f>SUMIF(IN!$L$6:$L$1000,REP!$C$6:$C$998,IN!$Q$6:$Q$1000)</f>
        <v>0</v>
      </c>
      <c r="G82" s="46">
        <f>SUMIF(OUT!$Q$7:$Q$1000,REP!C82:$C$998,OUT!$U$7:$U$1000)</f>
        <v>0</v>
      </c>
      <c r="H82" s="47">
        <f t="shared" si="1"/>
        <v>1</v>
      </c>
      <c r="I82" s="52" t="s">
        <v>64</v>
      </c>
      <c r="J82" s="53"/>
    </row>
    <row r="83" spans="2:10" ht="15" customHeight="1" x14ac:dyDescent="0.2">
      <c r="B83" s="49">
        <v>78</v>
      </c>
      <c r="C83" s="13" t="s">
        <v>847</v>
      </c>
      <c r="D83" s="46">
        <v>1</v>
      </c>
      <c r="E83" s="46">
        <f>SUMIF(INV.!$D$6:$D$1000,REP!$C$6:$C$1000,INV.!$F$6:$F$1000)</f>
        <v>1</v>
      </c>
      <c r="F83" s="46">
        <f>SUMIF(IN!$L$6:$L$1000,REP!$C$6:$C$998,IN!$Q$6:$Q$1000)</f>
        <v>0</v>
      </c>
      <c r="G83" s="46">
        <f>SUMIF(OUT!$Q$7:$Q$1000,REP!C83:$C$998,OUT!$U$7:$U$1000)</f>
        <v>0</v>
      </c>
      <c r="H83" s="47">
        <f t="shared" si="1"/>
        <v>1</v>
      </c>
      <c r="I83" s="52" t="s">
        <v>64</v>
      </c>
      <c r="J83" s="53"/>
    </row>
    <row r="84" spans="2:10" ht="15" customHeight="1" x14ac:dyDescent="0.2">
      <c r="B84" s="44">
        <v>79</v>
      </c>
      <c r="C84" s="13" t="s">
        <v>1258</v>
      </c>
      <c r="D84" s="46">
        <v>2</v>
      </c>
      <c r="E84" s="46">
        <f>SUMIF(INV.!$D$6:$D$1000,REP!$C$6:$C$1000,INV.!$F$6:$F$1000)</f>
        <v>11</v>
      </c>
      <c r="F84" s="46">
        <f>SUMIF(IN!$L$6:$L$1000,REP!$C$6:$C$998,IN!$Q$6:$Q$1000)</f>
        <v>0</v>
      </c>
      <c r="G84" s="46">
        <f>SUMIF(OUT!$Q$7:$Q$1000,REP!C84:$C$998,OUT!$U$7:$U$1000)</f>
        <v>1</v>
      </c>
      <c r="H84" s="47">
        <f t="shared" si="1"/>
        <v>10</v>
      </c>
      <c r="I84" s="52" t="s">
        <v>64</v>
      </c>
      <c r="J84" s="53"/>
    </row>
    <row r="85" spans="2:10" ht="15" customHeight="1" x14ac:dyDescent="0.2">
      <c r="B85" s="49">
        <v>80</v>
      </c>
      <c r="C85" s="13" t="s">
        <v>848</v>
      </c>
      <c r="D85" s="46">
        <v>2</v>
      </c>
      <c r="E85" s="46">
        <f>SUMIF(INV.!$D$6:$D$1000,REP!$C$6:$C$1000,INV.!$F$6:$F$1000)</f>
        <v>15</v>
      </c>
      <c r="F85" s="46">
        <f>SUMIF(IN!$L$6:$L$1000,REP!$C$6:$C$998,IN!$Q$6:$Q$1000)</f>
        <v>0</v>
      </c>
      <c r="G85" s="46">
        <f>SUMIF(OUT!$Q$7:$Q$1000,REP!C85:$C$998,OUT!$U$7:$U$1000)</f>
        <v>1</v>
      </c>
      <c r="H85" s="47">
        <f t="shared" si="1"/>
        <v>14</v>
      </c>
      <c r="I85" s="52" t="s">
        <v>64</v>
      </c>
      <c r="J85" s="53"/>
    </row>
    <row r="86" spans="2:10" ht="15" customHeight="1" x14ac:dyDescent="0.2">
      <c r="B86" s="49">
        <v>81</v>
      </c>
      <c r="C86" s="13" t="s">
        <v>1259</v>
      </c>
      <c r="D86" s="46">
        <v>2</v>
      </c>
      <c r="E86" s="46">
        <f>SUMIF(INV.!$D$6:$D$1000,REP!$C$6:$C$1000,INV.!$F$6:$F$1000)</f>
        <v>16</v>
      </c>
      <c r="F86" s="46">
        <f>SUMIF(IN!$L$6:$L$1000,REP!$C$6:$C$998,IN!$Q$6:$Q$1000)</f>
        <v>0</v>
      </c>
      <c r="G86" s="46">
        <f>SUMIF(OUT!$Q$7:$Q$1000,REP!C86:$C$998,OUT!$U$7:$U$1000)</f>
        <v>1</v>
      </c>
      <c r="H86" s="47">
        <f t="shared" si="1"/>
        <v>15</v>
      </c>
      <c r="I86" s="52" t="s">
        <v>64</v>
      </c>
      <c r="J86" s="53"/>
    </row>
    <row r="87" spans="2:10" ht="15" customHeight="1" x14ac:dyDescent="0.2">
      <c r="B87" s="44">
        <v>82</v>
      </c>
      <c r="C87" s="13" t="s">
        <v>849</v>
      </c>
      <c r="D87" s="46">
        <v>2</v>
      </c>
      <c r="E87" s="46">
        <f>SUMIF(INV.!$D$6:$D$1000,REP!$C$6:$C$1000,INV.!$F$6:$F$1000)</f>
        <v>0</v>
      </c>
      <c r="F87" s="46">
        <f>SUMIF(IN!$L$6:$L$1000,REP!$C$6:$C$998,IN!$Q$6:$Q$1000)</f>
        <v>0</v>
      </c>
      <c r="G87" s="46">
        <f>SUMIF(OUT!$Q$7:$Q$1000,REP!C87:$C$998,OUT!$U$7:$U$1000)</f>
        <v>0</v>
      </c>
      <c r="H87" s="47">
        <f t="shared" si="1"/>
        <v>0</v>
      </c>
      <c r="I87" s="52" t="s">
        <v>64</v>
      </c>
      <c r="J87" s="53"/>
    </row>
    <row r="88" spans="2:10" ht="15" customHeight="1" x14ac:dyDescent="0.2">
      <c r="B88" s="49">
        <v>83</v>
      </c>
      <c r="C88" s="13" t="s">
        <v>850</v>
      </c>
      <c r="D88" s="46">
        <v>2</v>
      </c>
      <c r="E88" s="46">
        <f>SUMIF(INV.!$D$6:$D$1000,REP!$C$6:$C$1000,INV.!$F$6:$F$1000)</f>
        <v>0</v>
      </c>
      <c r="F88" s="46">
        <f>SUMIF(IN!$L$6:$L$1000,REP!$C$6:$C$998,IN!$Q$6:$Q$1000)</f>
        <v>0</v>
      </c>
      <c r="G88" s="46">
        <f>SUMIF(OUT!$Q$7:$Q$1000,REP!C88:$C$998,OUT!$U$7:$U$1000)</f>
        <v>0</v>
      </c>
      <c r="H88" s="47">
        <f t="shared" si="1"/>
        <v>0</v>
      </c>
      <c r="I88" s="52" t="s">
        <v>64</v>
      </c>
      <c r="J88" s="53"/>
    </row>
    <row r="89" spans="2:10" ht="15" customHeight="1" x14ac:dyDescent="0.2">
      <c r="B89" s="49">
        <v>84</v>
      </c>
      <c r="C89" s="13" t="s">
        <v>851</v>
      </c>
      <c r="D89" s="46">
        <v>2</v>
      </c>
      <c r="E89" s="46">
        <f>SUMIF(INV.!$D$6:$D$1000,REP!$C$6:$C$1000,INV.!$F$6:$F$1000)</f>
        <v>0</v>
      </c>
      <c r="F89" s="46">
        <f>SUMIF(IN!$L$6:$L$1000,REP!$C$6:$C$998,IN!$Q$6:$Q$1000)</f>
        <v>0</v>
      </c>
      <c r="G89" s="46">
        <f>SUMIF(OUT!$Q$7:$Q$1000,REP!C89:$C$998,OUT!$U$7:$U$1000)</f>
        <v>0</v>
      </c>
      <c r="H89" s="47">
        <f t="shared" si="1"/>
        <v>0</v>
      </c>
      <c r="I89" s="52" t="s">
        <v>64</v>
      </c>
      <c r="J89" s="53"/>
    </row>
    <row r="90" spans="2:10" ht="15" customHeight="1" x14ac:dyDescent="0.2">
      <c r="B90" s="44">
        <v>85</v>
      </c>
      <c r="C90" s="13" t="s">
        <v>852</v>
      </c>
      <c r="D90" s="46">
        <v>1</v>
      </c>
      <c r="E90" s="46">
        <f>SUMIF(INV.!$D$6:$D$1000,REP!$C$6:$C$1000,INV.!$F$6:$F$1000)</f>
        <v>0</v>
      </c>
      <c r="F90" s="46">
        <f>SUMIF(IN!$L$6:$L$1000,REP!$C$6:$C$998,IN!$Q$6:$Q$1000)</f>
        <v>0</v>
      </c>
      <c r="G90" s="46">
        <f>SUMIF(OUT!$Q$7:$Q$1000,REP!C90:$C$998,OUT!$U$7:$U$1000)</f>
        <v>0</v>
      </c>
      <c r="H90" s="47">
        <f t="shared" si="1"/>
        <v>0</v>
      </c>
      <c r="I90" s="52" t="s">
        <v>64</v>
      </c>
      <c r="J90" s="53"/>
    </row>
    <row r="91" spans="2:10" ht="15" customHeight="1" x14ac:dyDescent="0.2">
      <c r="B91" s="49">
        <v>86</v>
      </c>
      <c r="C91" s="13" t="s">
        <v>853</v>
      </c>
      <c r="D91" s="46">
        <v>2</v>
      </c>
      <c r="E91" s="46">
        <f>SUMIF(INV.!$D$6:$D$1000,REP!$C$6:$C$1000,INV.!$F$6:$F$1000)</f>
        <v>0</v>
      </c>
      <c r="F91" s="46">
        <f>SUMIF(IN!$L$6:$L$1000,REP!$C$6:$C$998,IN!$Q$6:$Q$1000)</f>
        <v>0</v>
      </c>
      <c r="G91" s="46">
        <f>SUMIF(OUT!$Q$7:$Q$1000,REP!C91:$C$998,OUT!$U$7:$U$1000)</f>
        <v>0</v>
      </c>
      <c r="H91" s="47">
        <f t="shared" si="1"/>
        <v>0</v>
      </c>
      <c r="I91" s="52" t="s">
        <v>64</v>
      </c>
      <c r="J91" s="53"/>
    </row>
    <row r="92" spans="2:10" ht="15" customHeight="1" x14ac:dyDescent="0.2">
      <c r="B92" s="49">
        <v>87</v>
      </c>
      <c r="C92" s="13" t="s">
        <v>854</v>
      </c>
      <c r="D92" s="46">
        <v>2</v>
      </c>
      <c r="E92" s="46">
        <f>SUMIF(INV.!$D$6:$D$1000,REP!$C$6:$C$1000,INV.!$F$6:$F$1000)</f>
        <v>0</v>
      </c>
      <c r="F92" s="46">
        <f>SUMIF(IN!$L$6:$L$1000,REP!$C$6:$C$998,IN!$Q$6:$Q$1000)</f>
        <v>0</v>
      </c>
      <c r="G92" s="46">
        <f>SUMIF(OUT!$Q$7:$Q$1000,REP!C92:$C$998,OUT!$U$7:$U$1000)</f>
        <v>0</v>
      </c>
      <c r="H92" s="47">
        <f t="shared" si="1"/>
        <v>0</v>
      </c>
      <c r="I92" s="52" t="s">
        <v>64</v>
      </c>
      <c r="J92" s="53"/>
    </row>
    <row r="93" spans="2:10" ht="15" customHeight="1" x14ac:dyDescent="0.2">
      <c r="B93" s="44">
        <v>88</v>
      </c>
      <c r="C93" s="13" t="s">
        <v>855</v>
      </c>
      <c r="D93" s="46">
        <v>24</v>
      </c>
      <c r="E93" s="46">
        <f>SUMIF(INV.!$D$6:$D$1000,REP!$C$6:$C$1000,INV.!$F$6:$F$1000)</f>
        <v>0</v>
      </c>
      <c r="F93" s="46">
        <f>SUMIF(IN!$L$6:$L$1000,REP!$C$6:$C$998,IN!$Q$6:$Q$1000)</f>
        <v>0</v>
      </c>
      <c r="G93" s="46">
        <f>SUMIF(OUT!$Q$7:$Q$1000,REP!C93:$C$998,OUT!$U$7:$U$1000)</f>
        <v>0</v>
      </c>
      <c r="H93" s="47">
        <f t="shared" si="1"/>
        <v>0</v>
      </c>
      <c r="I93" s="52" t="s">
        <v>64</v>
      </c>
      <c r="J93" s="53"/>
    </row>
    <row r="94" spans="2:10" ht="15" customHeight="1" x14ac:dyDescent="0.2">
      <c r="B94" s="49">
        <v>89</v>
      </c>
      <c r="C94" s="13" t="s">
        <v>856</v>
      </c>
      <c r="D94" s="46">
        <v>6</v>
      </c>
      <c r="E94" s="46">
        <f>SUMIF(INV.!$D$6:$D$1000,REP!$C$6:$C$1000,INV.!$F$6:$F$1000)</f>
        <v>0</v>
      </c>
      <c r="F94" s="46">
        <f>SUMIF(IN!$L$6:$L$1000,REP!$C$6:$C$998,IN!$Q$6:$Q$1000)</f>
        <v>0</v>
      </c>
      <c r="G94" s="46">
        <f>SUMIF(OUT!$Q$7:$Q$1000,REP!C94:$C$998,OUT!$U$7:$U$1000)</f>
        <v>0</v>
      </c>
      <c r="H94" s="47">
        <f t="shared" si="1"/>
        <v>0</v>
      </c>
      <c r="I94" s="52" t="s">
        <v>64</v>
      </c>
      <c r="J94" s="53"/>
    </row>
    <row r="95" spans="2:10" ht="15" customHeight="1" x14ac:dyDescent="0.2">
      <c r="B95" s="49">
        <v>90</v>
      </c>
      <c r="C95" s="13" t="s">
        <v>857</v>
      </c>
      <c r="D95" s="46">
        <v>8</v>
      </c>
      <c r="E95" s="46">
        <f>SUMIF(INV.!$D$6:$D$1000,REP!$C$6:$C$1000,INV.!$F$6:$F$1000)</f>
        <v>0</v>
      </c>
      <c r="F95" s="46">
        <f>SUMIF(IN!$L$6:$L$1000,REP!$C$6:$C$998,IN!$Q$6:$Q$1000)</f>
        <v>0</v>
      </c>
      <c r="G95" s="46">
        <f>SUMIF(OUT!$Q$7:$Q$1000,REP!C95:$C$998,OUT!$U$7:$U$1000)</f>
        <v>0</v>
      </c>
      <c r="H95" s="47">
        <f t="shared" si="1"/>
        <v>0</v>
      </c>
      <c r="I95" s="52" t="s">
        <v>64</v>
      </c>
      <c r="J95" s="53"/>
    </row>
    <row r="96" spans="2:10" ht="15" customHeight="1" x14ac:dyDescent="0.2">
      <c r="B96" s="44">
        <v>91</v>
      </c>
      <c r="C96" s="13" t="s">
        <v>215</v>
      </c>
      <c r="D96" s="46">
        <v>1</v>
      </c>
      <c r="E96" s="46">
        <f>SUMIF(INV.!$D$6:$D$1000,REP!$C$6:$C$1000,INV.!$F$6:$F$1000)</f>
        <v>0</v>
      </c>
      <c r="F96" s="46">
        <f>SUMIF(IN!$L$6:$L$1000,REP!$C$6:$C$998,IN!$Q$6:$Q$1000)</f>
        <v>2</v>
      </c>
      <c r="G96" s="46">
        <f>SUMIF(OUT!$Q$7:$Q$1000,REP!C96:$C$998,OUT!$U$7:$U$1000)</f>
        <v>0</v>
      </c>
      <c r="H96" s="47">
        <f t="shared" si="1"/>
        <v>2</v>
      </c>
      <c r="I96" s="52" t="s">
        <v>64</v>
      </c>
      <c r="J96" s="53"/>
    </row>
    <row r="97" spans="2:10" ht="15" customHeight="1" x14ac:dyDescent="0.2">
      <c r="B97" s="49">
        <v>92</v>
      </c>
      <c r="C97" s="13" t="s">
        <v>858</v>
      </c>
      <c r="D97" s="46">
        <v>1</v>
      </c>
      <c r="E97" s="46">
        <f>SUMIF(INV.!$D$6:$D$1000,REP!$C$6:$C$1000,INV.!$F$6:$F$1000)</f>
        <v>0</v>
      </c>
      <c r="F97" s="46">
        <f>SUMIF(IN!$L$6:$L$1000,REP!$C$6:$C$998,IN!$Q$6:$Q$1000)</f>
        <v>0</v>
      </c>
      <c r="G97" s="46">
        <f>SUMIF(OUT!$Q$7:$Q$1000,REP!C97:$C$998,OUT!$U$7:$U$1000)</f>
        <v>1</v>
      </c>
      <c r="H97" s="47">
        <f t="shared" si="1"/>
        <v>-1</v>
      </c>
      <c r="I97" s="52" t="s">
        <v>64</v>
      </c>
      <c r="J97" s="53"/>
    </row>
    <row r="98" spans="2:10" ht="15" customHeight="1" x14ac:dyDescent="0.2">
      <c r="B98" s="49">
        <v>93</v>
      </c>
      <c r="C98" s="13" t="s">
        <v>859</v>
      </c>
      <c r="D98" s="46">
        <v>1</v>
      </c>
      <c r="E98" s="46">
        <f>SUMIF(INV.!$D$6:$D$1000,REP!$C$6:$C$1000,INV.!$F$6:$F$1000)</f>
        <v>0</v>
      </c>
      <c r="F98" s="46">
        <f>SUMIF(IN!$L$6:$L$1000,REP!$C$6:$C$998,IN!$Q$6:$Q$1000)</f>
        <v>2</v>
      </c>
      <c r="G98" s="46">
        <f>SUMIF(OUT!$Q$7:$Q$1000,REP!C98:$C$998,OUT!$U$7:$U$1000)</f>
        <v>1</v>
      </c>
      <c r="H98" s="47">
        <f t="shared" si="1"/>
        <v>1</v>
      </c>
      <c r="I98" s="52" t="s">
        <v>64</v>
      </c>
      <c r="J98" s="53"/>
    </row>
    <row r="99" spans="2:10" ht="15" customHeight="1" x14ac:dyDescent="0.2">
      <c r="B99" s="44">
        <v>94</v>
      </c>
      <c r="C99" s="13" t="s">
        <v>860</v>
      </c>
      <c r="D99" s="46">
        <v>3</v>
      </c>
      <c r="E99" s="46">
        <f>SUMIF(INV.!$D$6:$D$1000,REP!$C$6:$C$1000,INV.!$F$6:$F$1000)</f>
        <v>0</v>
      </c>
      <c r="F99" s="46">
        <f>SUMIF(IN!$L$6:$L$1000,REP!$C$6:$C$998,IN!$Q$6:$Q$1000)</f>
        <v>2</v>
      </c>
      <c r="G99" s="46">
        <f>SUMIF(OUT!$Q$7:$Q$1000,REP!C99:$C$998,OUT!$U$7:$U$1000)</f>
        <v>1</v>
      </c>
      <c r="H99" s="47">
        <f t="shared" si="1"/>
        <v>1</v>
      </c>
      <c r="I99" s="52" t="s">
        <v>64</v>
      </c>
      <c r="J99" s="53"/>
    </row>
    <row r="100" spans="2:10" ht="15" customHeight="1" x14ac:dyDescent="0.2">
      <c r="B100" s="49">
        <v>95</v>
      </c>
      <c r="C100" s="13" t="s">
        <v>861</v>
      </c>
      <c r="D100" s="46">
        <v>1</v>
      </c>
      <c r="E100" s="46">
        <f>SUMIF(INV.!$D$6:$D$1000,REP!$C$6:$C$1000,INV.!$F$6:$F$1000)</f>
        <v>0</v>
      </c>
      <c r="F100" s="46">
        <f>SUMIF(IN!$L$6:$L$1000,REP!$C$6:$C$998,IN!$Q$6:$Q$1000)</f>
        <v>2</v>
      </c>
      <c r="G100" s="46">
        <f>SUMIF(OUT!$Q$7:$Q$1000,REP!C100:$C$998,OUT!$U$7:$U$1000)</f>
        <v>1</v>
      </c>
      <c r="H100" s="47">
        <f t="shared" si="1"/>
        <v>1</v>
      </c>
      <c r="I100" s="52" t="s">
        <v>64</v>
      </c>
      <c r="J100" s="53"/>
    </row>
    <row r="101" spans="2:10" ht="15" customHeight="1" x14ac:dyDescent="0.2">
      <c r="B101" s="49">
        <v>96</v>
      </c>
      <c r="C101" s="13" t="s">
        <v>862</v>
      </c>
      <c r="D101" s="46">
        <v>1</v>
      </c>
      <c r="E101" s="46">
        <f>SUMIF(INV.!$D$6:$D$1000,REP!$C$6:$C$1000,INV.!$F$6:$F$1000)</f>
        <v>0</v>
      </c>
      <c r="F101" s="46">
        <f>SUMIF(IN!$L$6:$L$1000,REP!$C$6:$C$998,IN!$Q$6:$Q$1000)</f>
        <v>0</v>
      </c>
      <c r="G101" s="46">
        <f>SUMIF(OUT!$Q$7:$Q$1000,REP!C101:$C$998,OUT!$U$7:$U$1000)</f>
        <v>0</v>
      </c>
      <c r="H101" s="47">
        <f t="shared" si="1"/>
        <v>0</v>
      </c>
      <c r="I101" s="52" t="s">
        <v>64</v>
      </c>
      <c r="J101" s="53"/>
    </row>
    <row r="102" spans="2:10" ht="15" customHeight="1" x14ac:dyDescent="0.2">
      <c r="B102" s="44">
        <v>97</v>
      </c>
      <c r="C102" s="13" t="s">
        <v>863</v>
      </c>
      <c r="D102" s="46">
        <v>1</v>
      </c>
      <c r="E102" s="46">
        <f>SUMIF(INV.!$D$6:$D$1000,REP!$C$6:$C$1000,INV.!$F$6:$F$1000)</f>
        <v>0</v>
      </c>
      <c r="F102" s="46">
        <f>SUMIF(IN!$L$6:$L$1000,REP!$C$6:$C$998,IN!$Q$6:$Q$1000)</f>
        <v>0</v>
      </c>
      <c r="G102" s="46">
        <f>SUMIF(OUT!$Q$7:$Q$1000,REP!C102:$C$998,OUT!$U$7:$U$1000)</f>
        <v>0</v>
      </c>
      <c r="H102" s="47">
        <f t="shared" si="1"/>
        <v>0</v>
      </c>
      <c r="I102" s="52" t="s">
        <v>64</v>
      </c>
      <c r="J102" s="53"/>
    </row>
    <row r="103" spans="2:10" ht="15" customHeight="1" x14ac:dyDescent="0.2">
      <c r="B103" s="49">
        <v>98</v>
      </c>
      <c r="C103" s="13" t="s">
        <v>864</v>
      </c>
      <c r="D103" s="46">
        <v>1</v>
      </c>
      <c r="E103" s="46">
        <f>SUMIF(INV.!$D$6:$D$1000,REP!$C$6:$C$1000,INV.!$F$6:$F$1000)</f>
        <v>0</v>
      </c>
      <c r="F103" s="46">
        <f>SUMIF(IN!$L$6:$L$1000,REP!$C$6:$C$998,IN!$Q$6:$Q$1000)</f>
        <v>0</v>
      </c>
      <c r="G103" s="46">
        <f>SUMIF(OUT!$Q$7:$Q$1000,REP!C103:$C$998,OUT!$U$7:$U$1000)</f>
        <v>0</v>
      </c>
      <c r="H103" s="47">
        <f t="shared" si="1"/>
        <v>0</v>
      </c>
      <c r="I103" s="52" t="s">
        <v>64</v>
      </c>
      <c r="J103" s="53"/>
    </row>
    <row r="104" spans="2:10" ht="15" customHeight="1" x14ac:dyDescent="0.2">
      <c r="B104" s="49">
        <v>99</v>
      </c>
      <c r="C104" s="13" t="s">
        <v>865</v>
      </c>
      <c r="D104" s="46">
        <v>1</v>
      </c>
      <c r="E104" s="46">
        <f>SUMIF(INV.!$D$6:$D$1000,REP!$C$6:$C$1000,INV.!$F$6:$F$1000)</f>
        <v>0</v>
      </c>
      <c r="F104" s="46">
        <f>SUMIF(IN!$L$6:$L$1000,REP!$C$6:$C$998,IN!$Q$6:$Q$1000)</f>
        <v>0</v>
      </c>
      <c r="G104" s="46">
        <f>SUMIF(OUT!$Q$7:$Q$1000,REP!C104:$C$998,OUT!$U$7:$U$1000)</f>
        <v>0</v>
      </c>
      <c r="H104" s="47">
        <f t="shared" si="1"/>
        <v>0</v>
      </c>
      <c r="I104" s="52" t="s">
        <v>64</v>
      </c>
      <c r="J104" s="53"/>
    </row>
    <row r="105" spans="2:10" ht="15" customHeight="1" x14ac:dyDescent="0.2">
      <c r="B105" s="44">
        <v>100</v>
      </c>
      <c r="C105" s="13" t="s">
        <v>866</v>
      </c>
      <c r="D105" s="46">
        <v>2</v>
      </c>
      <c r="E105" s="46">
        <f>SUMIF(INV.!$D$6:$D$1000,REP!$C$6:$C$1000,INV.!$F$6:$F$1000)</f>
        <v>0</v>
      </c>
      <c r="F105" s="46">
        <f>SUMIF(IN!$L$6:$L$1000,REP!$C$6:$C$998,IN!$Q$6:$Q$1000)</f>
        <v>4</v>
      </c>
      <c r="G105" s="46">
        <f>SUMIF(OUT!$Q$7:$Q$1000,REP!C105:$C$998,OUT!$U$7:$U$1000)</f>
        <v>2</v>
      </c>
      <c r="H105" s="47">
        <f t="shared" si="1"/>
        <v>2</v>
      </c>
      <c r="I105" s="52" t="s">
        <v>64</v>
      </c>
      <c r="J105" s="53"/>
    </row>
    <row r="106" spans="2:10" ht="15" customHeight="1" x14ac:dyDescent="0.2">
      <c r="B106" s="49">
        <v>101</v>
      </c>
      <c r="C106" s="13" t="s">
        <v>867</v>
      </c>
      <c r="D106" s="46">
        <v>1</v>
      </c>
      <c r="E106" s="46">
        <f>SUMIF(INV.!$D$6:$D$1000,REP!$C$6:$C$1000,INV.!$F$6:$F$1000)</f>
        <v>0</v>
      </c>
      <c r="F106" s="46">
        <f>SUMIF(IN!$L$6:$L$1000,REP!$C$6:$C$998,IN!$Q$6:$Q$1000)</f>
        <v>0</v>
      </c>
      <c r="G106" s="46">
        <f>SUMIF(OUT!$Q$7:$Q$1000,REP!C106:$C$998,OUT!$U$7:$U$1000)</f>
        <v>0</v>
      </c>
      <c r="H106" s="47">
        <f t="shared" si="1"/>
        <v>0</v>
      </c>
      <c r="I106" s="52" t="s">
        <v>64</v>
      </c>
      <c r="J106" s="53"/>
    </row>
    <row r="107" spans="2:10" ht="15" customHeight="1" x14ac:dyDescent="0.2">
      <c r="B107" s="49">
        <v>102</v>
      </c>
      <c r="C107" s="13" t="s">
        <v>868</v>
      </c>
      <c r="D107" s="46">
        <v>1</v>
      </c>
      <c r="E107" s="46">
        <f>SUMIF(INV.!$D$6:$D$1000,REP!$C$6:$C$1000,INV.!$F$6:$F$1000)</f>
        <v>0</v>
      </c>
      <c r="F107" s="46">
        <f>SUMIF(IN!$L$6:$L$1000,REP!$C$6:$C$998,IN!$Q$6:$Q$1000)</f>
        <v>3</v>
      </c>
      <c r="G107" s="46">
        <f>SUMIF(OUT!$Q$7:$Q$1000,REP!C107:$C$998,OUT!$U$7:$U$1000)</f>
        <v>1</v>
      </c>
      <c r="H107" s="47">
        <f t="shared" si="1"/>
        <v>2</v>
      </c>
      <c r="I107" s="52" t="s">
        <v>64</v>
      </c>
      <c r="J107" s="53"/>
    </row>
    <row r="108" spans="2:10" ht="15" customHeight="1" x14ac:dyDescent="0.2">
      <c r="B108" s="44">
        <v>103</v>
      </c>
      <c r="C108" s="13" t="s">
        <v>869</v>
      </c>
      <c r="D108" s="46">
        <v>1</v>
      </c>
      <c r="E108" s="46">
        <f>SUMIF(INV.!$D$6:$D$1000,REP!$C$6:$C$1000,INV.!$F$6:$F$1000)</f>
        <v>0</v>
      </c>
      <c r="F108" s="46">
        <f>SUMIF(IN!$L$6:$L$1000,REP!$C$6:$C$998,IN!$Q$6:$Q$1000)</f>
        <v>3</v>
      </c>
      <c r="G108" s="46">
        <f>SUMIF(OUT!$Q$7:$Q$1000,REP!C108:$C$998,OUT!$U$7:$U$1000)</f>
        <v>1</v>
      </c>
      <c r="H108" s="47">
        <f t="shared" si="1"/>
        <v>2</v>
      </c>
      <c r="I108" s="52" t="s">
        <v>64</v>
      </c>
      <c r="J108" s="53"/>
    </row>
    <row r="109" spans="2:10" ht="15" customHeight="1" x14ac:dyDescent="0.2">
      <c r="B109" s="49">
        <v>104</v>
      </c>
      <c r="C109" s="13" t="s">
        <v>870</v>
      </c>
      <c r="D109" s="46">
        <v>1</v>
      </c>
      <c r="E109" s="46">
        <f>SUMIF(INV.!$D$6:$D$1000,REP!$C$6:$C$1000,INV.!$F$6:$F$1000)</f>
        <v>0</v>
      </c>
      <c r="F109" s="46">
        <f>SUMIF(IN!$L$6:$L$1000,REP!$C$6:$C$998,IN!$Q$6:$Q$1000)</f>
        <v>3</v>
      </c>
      <c r="G109" s="46">
        <f>SUMIF(OUT!$Q$7:$Q$1000,REP!C109:$C$998,OUT!$U$7:$U$1000)</f>
        <v>1</v>
      </c>
      <c r="H109" s="47">
        <f t="shared" si="1"/>
        <v>2</v>
      </c>
      <c r="I109" s="52" t="s">
        <v>64</v>
      </c>
      <c r="J109" s="53"/>
    </row>
    <row r="110" spans="2:10" ht="15" customHeight="1" x14ac:dyDescent="0.2">
      <c r="B110" s="49">
        <v>105</v>
      </c>
      <c r="C110" s="13" t="s">
        <v>871</v>
      </c>
      <c r="D110" s="46">
        <v>1</v>
      </c>
      <c r="E110" s="46">
        <f>SUMIF(INV.!$D$6:$D$1000,REP!$C$6:$C$1000,INV.!$F$6:$F$1000)</f>
        <v>0</v>
      </c>
      <c r="F110" s="46">
        <f>SUMIF(IN!$L$6:$L$1000,REP!$C$6:$C$998,IN!$Q$6:$Q$1000)</f>
        <v>0</v>
      </c>
      <c r="G110" s="46">
        <f>SUMIF(OUT!$Q$7:$Q$1000,REP!C110:$C$998,OUT!$U$7:$U$1000)</f>
        <v>0</v>
      </c>
      <c r="H110" s="47">
        <f t="shared" si="1"/>
        <v>0</v>
      </c>
      <c r="I110" s="52" t="s">
        <v>64</v>
      </c>
      <c r="J110" s="53"/>
    </row>
    <row r="111" spans="2:10" ht="15" customHeight="1" x14ac:dyDescent="0.2">
      <c r="B111" s="44">
        <v>106</v>
      </c>
      <c r="C111" s="13" t="s">
        <v>872</v>
      </c>
      <c r="D111" s="46">
        <v>6</v>
      </c>
      <c r="E111" s="46">
        <f>SUMIF(INV.!$D$6:$D$1000,REP!$C$6:$C$1000,INV.!$F$6:$F$1000)</f>
        <v>0</v>
      </c>
      <c r="F111" s="46">
        <f>SUMIF(IN!$L$6:$L$1000,REP!$C$6:$C$998,IN!$Q$6:$Q$1000)</f>
        <v>0</v>
      </c>
      <c r="G111" s="46">
        <f>SUMIF(OUT!$Q$7:$Q$1000,REP!C111:$C$998,OUT!$U$7:$U$1000)</f>
        <v>0</v>
      </c>
      <c r="H111" s="47">
        <f t="shared" si="1"/>
        <v>0</v>
      </c>
      <c r="I111" s="52" t="s">
        <v>64</v>
      </c>
      <c r="J111" s="53"/>
    </row>
    <row r="112" spans="2:10" ht="15" customHeight="1" x14ac:dyDescent="0.2">
      <c r="B112" s="44">
        <v>107</v>
      </c>
      <c r="C112" s="13" t="s">
        <v>873</v>
      </c>
      <c r="D112" s="13">
        <v>12</v>
      </c>
      <c r="E112" s="47">
        <f>SUMIF(INV.!$D$6:$D$1000,REP!$C$6:$C$1000,INV.!$F$6:$F$1000)</f>
        <v>0</v>
      </c>
      <c r="F112" s="47">
        <f>SUMIF(IN!$L$6:$L$1000,REP!$C$6:$C$998,IN!$Q$6:$Q$1000)</f>
        <v>0</v>
      </c>
      <c r="G112" s="47">
        <f>SUMIF(OUT!$Q$7:$Q$1000,REP!C112:$C$998,OUT!$U$7:$U$1000)</f>
        <v>0</v>
      </c>
      <c r="H112" s="47">
        <f t="shared" si="1"/>
        <v>0</v>
      </c>
      <c r="I112" s="13" t="s">
        <v>64</v>
      </c>
      <c r="J112" s="53"/>
    </row>
    <row r="113" spans="2:10" x14ac:dyDescent="0.2">
      <c r="B113" s="44">
        <v>108</v>
      </c>
      <c r="C113" s="13" t="s">
        <v>231</v>
      </c>
      <c r="D113" s="13">
        <v>0</v>
      </c>
      <c r="E113" s="47">
        <f>SUMIF(INV.!$D$6:$D$1000,REP!$C$6:$C$1000,INV.!$F$6:$F$1000)</f>
        <v>0</v>
      </c>
      <c r="F113" s="46">
        <f>SUMIF(IN!$L$6:$L$1000,REP!$C$6:$C$998,IN!$Q$6:$Q$1000)</f>
        <v>1087.5</v>
      </c>
      <c r="G113" s="46">
        <f>SUMIF(OUT!$Q$7:$Q$1000,REP!C113:$C$998,OUT!$U$7:$U$1000)</f>
        <v>1083</v>
      </c>
      <c r="H113" s="13">
        <f t="shared" si="1"/>
        <v>4.5</v>
      </c>
      <c r="I113" s="77" t="s">
        <v>778</v>
      </c>
      <c r="J113" s="53"/>
    </row>
    <row r="114" spans="2:10" x14ac:dyDescent="0.2">
      <c r="B114" s="44">
        <v>109</v>
      </c>
      <c r="C114" s="13" t="s">
        <v>279</v>
      </c>
      <c r="D114" s="13">
        <v>0</v>
      </c>
      <c r="E114" s="51">
        <f>SUMIF(INV.!$D$6:$D$1000,REP!$C$6:$C$1000,INV.!$F$6:$F$1000)</f>
        <v>0</v>
      </c>
      <c r="F114" s="46">
        <f>SUMIF(IN!$L$6:$L$1000,REP!$C$6:$C$998,IN!$Q$6:$Q$1000)</f>
        <v>77.5</v>
      </c>
      <c r="G114" s="78">
        <f>SUMIF(OUT!$Q$7:$Q$1000,REP!C114:$C$998,OUT!$U$7:$U$1000)</f>
        <v>20</v>
      </c>
      <c r="H114" s="13">
        <f t="shared" si="1"/>
        <v>57.5</v>
      </c>
      <c r="I114" s="77" t="s">
        <v>778</v>
      </c>
      <c r="J114" s="53"/>
    </row>
    <row r="115" spans="2:10" x14ac:dyDescent="0.2">
      <c r="B115" s="44">
        <v>110</v>
      </c>
      <c r="C115" s="13" t="s">
        <v>1261</v>
      </c>
      <c r="D115" s="13">
        <v>0</v>
      </c>
      <c r="E115" s="51">
        <f>SUMIF(INV.!$D$6:$D$1000,REP!$C$6:$C$1000,INV.!$F$6:$F$1000)</f>
        <v>0</v>
      </c>
      <c r="F115" s="46">
        <f>SUMIF(IN!$L$6:$L$1000,REP!$C$6:$C$998,IN!$Q$6:$Q$1000)</f>
        <v>2</v>
      </c>
      <c r="G115" s="78">
        <f>SUMIF(OUT!$Q$7:$Q$1000,REP!C115:$C$998,OUT!$U$7:$U$1000)</f>
        <v>0</v>
      </c>
      <c r="H115" s="13">
        <f t="shared" si="1"/>
        <v>2</v>
      </c>
      <c r="I115" s="77" t="s">
        <v>64</v>
      </c>
      <c r="J115" s="53"/>
    </row>
    <row r="116" spans="2:10" x14ac:dyDescent="0.2">
      <c r="B116" s="44">
        <v>111</v>
      </c>
      <c r="C116" s="13" t="s">
        <v>313</v>
      </c>
      <c r="D116" s="13">
        <v>0</v>
      </c>
      <c r="E116" s="51">
        <f>SUMIF(INV.!$D$6:$D$1000,REP!$C$6:$C$1000,INV.!$F$6:$F$1000)</f>
        <v>0</v>
      </c>
      <c r="F116" s="46">
        <f>SUMIF(IN!$L$6:$L$1000,REP!$C$6:$C$998,IN!$Q$6:$Q$1000)</f>
        <v>3</v>
      </c>
      <c r="G116" s="78">
        <f>SUMIF(OUT!$Q$7:$Q$1000,REP!C116:$C$998,OUT!$U$7:$U$1000)</f>
        <v>0</v>
      </c>
      <c r="H116" s="13">
        <f t="shared" si="1"/>
        <v>3</v>
      </c>
      <c r="I116" s="77" t="s">
        <v>64</v>
      </c>
      <c r="J116" s="53"/>
    </row>
    <row r="117" spans="2:10" x14ac:dyDescent="0.2">
      <c r="B117" s="44">
        <v>112</v>
      </c>
      <c r="C117" s="13" t="s">
        <v>314</v>
      </c>
      <c r="D117" s="13">
        <v>0</v>
      </c>
      <c r="E117" s="51">
        <f>SUMIF(INV.!$D$6:$D$1000,REP!$C$6:$C$1000,INV.!$F$6:$F$1000)</f>
        <v>0</v>
      </c>
      <c r="F117" s="46">
        <f>SUMIF(IN!$L$6:$L$1000,REP!$C$6:$C$998,IN!$Q$6:$Q$1000)</f>
        <v>1</v>
      </c>
      <c r="G117" s="78">
        <f>SUMIF(OUT!$Q$7:$Q$1000,REP!C117:$C$998,OUT!$U$7:$U$1000)</f>
        <v>0</v>
      </c>
      <c r="H117" s="13">
        <f t="shared" si="1"/>
        <v>1</v>
      </c>
      <c r="I117" s="77" t="s">
        <v>64</v>
      </c>
      <c r="J117" s="53"/>
    </row>
    <row r="118" spans="2:10" ht="15.75" thickBot="1" x14ac:dyDescent="0.25">
      <c r="B118" s="44">
        <v>113</v>
      </c>
      <c r="C118" s="55" t="s">
        <v>315</v>
      </c>
      <c r="D118" s="55">
        <v>0</v>
      </c>
      <c r="E118" s="57">
        <f>SUMIF(INV.!$D$6:$D$1000,REP!$C$6:$C$1000,INV.!$F$6:$F$1000)</f>
        <v>0</v>
      </c>
      <c r="F118" s="79">
        <f>SUMIF(IN!$L$6:$L$1000,REP!$C$6:$C$998,IN!$Q$6:$Q$1000)</f>
        <v>6</v>
      </c>
      <c r="G118" s="56">
        <f>SUMIF(OUT!$Q$7:$Q$1000,REP!C118:$C$998,OUT!$U$7:$U$1000)</f>
        <v>6</v>
      </c>
      <c r="H118" s="55">
        <f t="shared" si="1"/>
        <v>0</v>
      </c>
      <c r="I118" s="75" t="s">
        <v>64</v>
      </c>
      <c r="J118" s="58"/>
    </row>
    <row r="119" spans="2:10" x14ac:dyDescent="0.2">
      <c r="B119"/>
      <c r="D119"/>
      <c r="E119"/>
      <c r="F119"/>
      <c r="G119"/>
      <c r="H119"/>
    </row>
    <row r="120" spans="2:10" x14ac:dyDescent="0.2">
      <c r="B120"/>
      <c r="D120"/>
      <c r="E120"/>
      <c r="F120"/>
      <c r="G120"/>
      <c r="H120"/>
    </row>
    <row r="121" spans="2:10" x14ac:dyDescent="0.2">
      <c r="B121"/>
      <c r="D121"/>
      <c r="E121"/>
      <c r="F121"/>
      <c r="G121"/>
      <c r="H121"/>
    </row>
    <row r="122" spans="2:10" x14ac:dyDescent="0.2">
      <c r="B122"/>
      <c r="D122"/>
      <c r="E122"/>
      <c r="F122"/>
      <c r="G122"/>
      <c r="H122"/>
    </row>
    <row r="123" spans="2:10" x14ac:dyDescent="0.2">
      <c r="B123"/>
      <c r="D123"/>
      <c r="E123"/>
      <c r="F123"/>
      <c r="G123"/>
      <c r="H123"/>
    </row>
    <row r="124" spans="2:10" x14ac:dyDescent="0.2">
      <c r="B124"/>
      <c r="D124"/>
      <c r="E124"/>
      <c r="F124"/>
      <c r="G124"/>
      <c r="H124"/>
    </row>
    <row r="125" spans="2:10" x14ac:dyDescent="0.2">
      <c r="B125"/>
      <c r="D125"/>
      <c r="E125"/>
      <c r="F125"/>
      <c r="G125"/>
      <c r="H125"/>
    </row>
    <row r="126" spans="2:10" x14ac:dyDescent="0.2">
      <c r="B126"/>
      <c r="D126"/>
      <c r="E126"/>
      <c r="F126"/>
      <c r="G126"/>
      <c r="H126"/>
    </row>
    <row r="127" spans="2:10" x14ac:dyDescent="0.2">
      <c r="B127"/>
      <c r="D127"/>
      <c r="E127"/>
      <c r="F127"/>
      <c r="G127"/>
      <c r="H127"/>
    </row>
    <row r="128" spans="2:10" x14ac:dyDescent="0.2">
      <c r="B128"/>
      <c r="D128"/>
      <c r="E128"/>
      <c r="F128"/>
      <c r="G128"/>
      <c r="H128"/>
    </row>
    <row r="129" spans="2:8" x14ac:dyDescent="0.2">
      <c r="B129"/>
      <c r="D129"/>
      <c r="E129"/>
      <c r="F129"/>
      <c r="G129"/>
      <c r="H129"/>
    </row>
    <row r="130" spans="2:8" x14ac:dyDescent="0.2">
      <c r="B130"/>
      <c r="D130"/>
      <c r="E130"/>
      <c r="F130"/>
      <c r="G130"/>
      <c r="H130"/>
    </row>
    <row r="131" spans="2:8" x14ac:dyDescent="0.2">
      <c r="B131"/>
      <c r="D131"/>
      <c r="E131"/>
      <c r="F131"/>
      <c r="G131"/>
      <c r="H131"/>
    </row>
    <row r="132" spans="2:8" x14ac:dyDescent="0.2">
      <c r="B132"/>
      <c r="D132"/>
      <c r="E132"/>
      <c r="F132"/>
      <c r="G132"/>
      <c r="H132"/>
    </row>
    <row r="133" spans="2:8" x14ac:dyDescent="0.2">
      <c r="B133"/>
      <c r="D133"/>
      <c r="E133"/>
      <c r="F133"/>
      <c r="G133"/>
      <c r="H133"/>
    </row>
    <row r="134" spans="2:8" x14ac:dyDescent="0.2">
      <c r="B134"/>
      <c r="D134"/>
      <c r="E134"/>
      <c r="F134"/>
      <c r="G134"/>
      <c r="H134"/>
    </row>
    <row r="135" spans="2:8" x14ac:dyDescent="0.2">
      <c r="B135"/>
      <c r="D135"/>
      <c r="E135"/>
      <c r="F135"/>
      <c r="G135"/>
      <c r="H135"/>
    </row>
    <row r="136" spans="2:8" x14ac:dyDescent="0.2">
      <c r="B136"/>
      <c r="D136"/>
      <c r="E136"/>
      <c r="F136"/>
      <c r="G136"/>
      <c r="H136"/>
    </row>
    <row r="137" spans="2:8" x14ac:dyDescent="0.2">
      <c r="B137"/>
      <c r="D137"/>
      <c r="E137"/>
      <c r="F137"/>
      <c r="G137"/>
      <c r="H137"/>
    </row>
    <row r="138" spans="2:8" x14ac:dyDescent="0.2">
      <c r="B138"/>
      <c r="D138"/>
      <c r="E138"/>
      <c r="F138"/>
      <c r="G138"/>
      <c r="H138"/>
    </row>
    <row r="139" spans="2:8" x14ac:dyDescent="0.2">
      <c r="B139"/>
      <c r="D139"/>
      <c r="E139"/>
      <c r="F139"/>
      <c r="G139"/>
      <c r="H139"/>
    </row>
    <row r="140" spans="2:8" x14ac:dyDescent="0.2">
      <c r="B140"/>
      <c r="D140"/>
      <c r="E140"/>
      <c r="F140"/>
      <c r="G140"/>
      <c r="H140"/>
    </row>
    <row r="141" spans="2:8" x14ac:dyDescent="0.2">
      <c r="B141"/>
      <c r="D141"/>
      <c r="E141"/>
      <c r="F141"/>
      <c r="G141"/>
      <c r="H141"/>
    </row>
    <row r="142" spans="2:8" x14ac:dyDescent="0.2">
      <c r="B142"/>
      <c r="D142"/>
      <c r="E142"/>
      <c r="F142"/>
      <c r="G142" s="59"/>
      <c r="H142"/>
    </row>
    <row r="143" spans="2:8" x14ac:dyDescent="0.2">
      <c r="B143"/>
      <c r="D143"/>
      <c r="E143"/>
      <c r="F143"/>
      <c r="G143"/>
      <c r="H143"/>
    </row>
    <row r="144" spans="2:8" x14ac:dyDescent="0.2">
      <c r="B144"/>
      <c r="D144"/>
      <c r="E144"/>
      <c r="F144"/>
      <c r="G144"/>
      <c r="H144"/>
    </row>
    <row r="145" spans="2:8" x14ac:dyDescent="0.2">
      <c r="B145"/>
      <c r="D145"/>
      <c r="E145"/>
      <c r="F145"/>
      <c r="G145"/>
      <c r="H145"/>
    </row>
    <row r="146" spans="2:8" x14ac:dyDescent="0.2">
      <c r="B146"/>
      <c r="D146"/>
      <c r="E146"/>
      <c r="F146"/>
      <c r="G146"/>
      <c r="H146"/>
    </row>
    <row r="147" spans="2:8" x14ac:dyDescent="0.2">
      <c r="B147"/>
      <c r="D147"/>
      <c r="E147"/>
      <c r="F147"/>
      <c r="G147"/>
      <c r="H147"/>
    </row>
    <row r="148" spans="2:8" x14ac:dyDescent="0.2">
      <c r="B148"/>
      <c r="D148"/>
      <c r="E148"/>
      <c r="F148"/>
      <c r="G148"/>
      <c r="H148"/>
    </row>
    <row r="149" spans="2:8" x14ac:dyDescent="0.2">
      <c r="B149"/>
      <c r="D149"/>
      <c r="E149"/>
      <c r="F149"/>
      <c r="G149"/>
      <c r="H149"/>
    </row>
    <row r="150" spans="2:8" x14ac:dyDescent="0.2">
      <c r="B150"/>
      <c r="D150"/>
      <c r="E150"/>
      <c r="F150"/>
      <c r="G150"/>
      <c r="H150"/>
    </row>
    <row r="151" spans="2:8" x14ac:dyDescent="0.2">
      <c r="B151"/>
      <c r="D151"/>
      <c r="E151"/>
      <c r="F151"/>
      <c r="G151"/>
      <c r="H151"/>
    </row>
    <row r="152" spans="2:8" x14ac:dyDescent="0.2">
      <c r="B152"/>
      <c r="D152"/>
      <c r="E152"/>
      <c r="F152"/>
      <c r="G152"/>
      <c r="H152"/>
    </row>
    <row r="153" spans="2:8" x14ac:dyDescent="0.2">
      <c r="B153"/>
      <c r="D153"/>
      <c r="E153"/>
      <c r="F153"/>
      <c r="G153"/>
      <c r="H153"/>
    </row>
    <row r="154" spans="2:8" x14ac:dyDescent="0.2">
      <c r="B154"/>
      <c r="D154"/>
      <c r="E154"/>
      <c r="F154"/>
      <c r="G154"/>
      <c r="H154"/>
    </row>
    <row r="155" spans="2:8" x14ac:dyDescent="0.2">
      <c r="B155"/>
      <c r="D155"/>
      <c r="E155"/>
      <c r="F155"/>
      <c r="G155"/>
      <c r="H155"/>
    </row>
    <row r="156" spans="2:8" x14ac:dyDescent="0.2">
      <c r="B156"/>
      <c r="D156"/>
      <c r="E156"/>
      <c r="F156"/>
      <c r="G156"/>
      <c r="H156"/>
    </row>
    <row r="157" spans="2:8" x14ac:dyDescent="0.2">
      <c r="B157"/>
      <c r="D157"/>
      <c r="E157"/>
      <c r="F157"/>
      <c r="G157"/>
      <c r="H157"/>
    </row>
    <row r="158" spans="2:8" x14ac:dyDescent="0.2">
      <c r="B158"/>
      <c r="D158"/>
      <c r="E158"/>
      <c r="F158"/>
      <c r="G158"/>
      <c r="H158"/>
    </row>
    <row r="159" spans="2:8" x14ac:dyDescent="0.2">
      <c r="B159"/>
      <c r="D159"/>
      <c r="E159"/>
      <c r="F159"/>
      <c r="G159"/>
      <c r="H159"/>
    </row>
    <row r="160" spans="2:8" x14ac:dyDescent="0.2">
      <c r="B160"/>
      <c r="D160"/>
      <c r="E160"/>
      <c r="F160"/>
      <c r="G160"/>
      <c r="H160"/>
    </row>
  </sheetData>
  <autoFilter ref="B5:J118" xr:uid="{00000000-0009-0000-0000-000003000000}"/>
  <mergeCells count="1">
    <mergeCell ref="B2:J4"/>
  </mergeCells>
  <pageMargins left="0.25" right="0.25" top="0.75" bottom="0.75" header="0.3" footer="0.3"/>
  <pageSetup scale="6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54"/>
  <sheetViews>
    <sheetView zoomScale="60" zoomScaleNormal="60" workbookViewId="0">
      <selection activeCell="K67" sqref="K67"/>
    </sheetView>
  </sheetViews>
  <sheetFormatPr defaultColWidth="8.875" defaultRowHeight="15" x14ac:dyDescent="0.2"/>
  <cols>
    <col min="1" max="1" width="2.015625" bestFit="1" customWidth="1"/>
    <col min="2" max="2" width="15.46875" style="60" customWidth="1"/>
    <col min="3" max="3" width="28.3828125" customWidth="1"/>
    <col min="4" max="4" width="63.359375" customWidth="1"/>
    <col min="5" max="5" width="6.3203125" customWidth="1"/>
    <col min="6" max="6" width="14.390625" style="63" customWidth="1"/>
    <col min="7" max="7" width="21.65625" customWidth="1"/>
    <col min="8" max="8" width="2.015625" bestFit="1" customWidth="1"/>
  </cols>
  <sheetData>
    <row r="1" spans="2:7" ht="15.75" thickBot="1" x14ac:dyDescent="0.25"/>
    <row r="2" spans="2:7" x14ac:dyDescent="0.2">
      <c r="B2" s="102" t="s">
        <v>1260</v>
      </c>
      <c r="C2" s="103"/>
      <c r="D2" s="103"/>
      <c r="E2" s="103"/>
      <c r="F2" s="103"/>
      <c r="G2" s="104"/>
    </row>
    <row r="3" spans="2:7" ht="15.75" thickBot="1" x14ac:dyDescent="0.25">
      <c r="B3" s="105"/>
      <c r="C3" s="106"/>
      <c r="D3" s="106"/>
      <c r="E3" s="106"/>
      <c r="F3" s="106"/>
      <c r="G3" s="107"/>
    </row>
    <row r="4" spans="2:7" ht="15.75" thickBot="1" x14ac:dyDescent="0.25">
      <c r="B4" s="108"/>
      <c r="C4" s="109"/>
      <c r="D4" s="109"/>
      <c r="E4" s="109"/>
      <c r="F4" s="109"/>
      <c r="G4" s="110"/>
    </row>
    <row r="5" spans="2:7" ht="15.75" thickBot="1" x14ac:dyDescent="0.25">
      <c r="B5" s="62" t="s">
        <v>3</v>
      </c>
      <c r="C5" s="62" t="s">
        <v>1252</v>
      </c>
      <c r="D5" s="62" t="s">
        <v>1251</v>
      </c>
      <c r="E5" s="62" t="s">
        <v>40</v>
      </c>
      <c r="F5" s="64" t="s">
        <v>1250</v>
      </c>
      <c r="G5" s="61" t="s">
        <v>1249</v>
      </c>
    </row>
    <row r="6" spans="2:7" ht="15" customHeight="1" x14ac:dyDescent="0.2">
      <c r="B6" s="54" t="s">
        <v>46</v>
      </c>
      <c r="C6" s="54" t="s">
        <v>174</v>
      </c>
      <c r="D6" s="54" t="s">
        <v>1248</v>
      </c>
      <c r="E6" s="54" t="s">
        <v>6</v>
      </c>
      <c r="F6" s="65">
        <v>1</v>
      </c>
      <c r="G6" s="54"/>
    </row>
    <row r="7" spans="2:7" ht="15" customHeight="1" x14ac:dyDescent="0.2">
      <c r="B7" s="54" t="s">
        <v>46</v>
      </c>
      <c r="C7" s="54" t="s">
        <v>174</v>
      </c>
      <c r="D7" s="54" t="s">
        <v>1247</v>
      </c>
      <c r="E7" s="54" t="s">
        <v>6</v>
      </c>
      <c r="F7" s="65">
        <v>1</v>
      </c>
      <c r="G7" s="54"/>
    </row>
    <row r="8" spans="2:7" ht="15" customHeight="1" x14ac:dyDescent="0.2">
      <c r="B8" s="54" t="s">
        <v>46</v>
      </c>
      <c r="C8" s="54" t="s">
        <v>174</v>
      </c>
      <c r="D8" s="54" t="s">
        <v>1246</v>
      </c>
      <c r="E8" s="54" t="s">
        <v>6</v>
      </c>
      <c r="F8" s="65">
        <v>1</v>
      </c>
      <c r="G8" s="54"/>
    </row>
    <row r="9" spans="2:7" ht="15" customHeight="1" x14ac:dyDescent="0.2">
      <c r="B9" s="54" t="s">
        <v>46</v>
      </c>
      <c r="C9" s="54" t="s">
        <v>174</v>
      </c>
      <c r="D9" s="54" t="s">
        <v>1245</v>
      </c>
      <c r="E9" s="54" t="s">
        <v>839</v>
      </c>
      <c r="F9" s="65">
        <v>12000</v>
      </c>
      <c r="G9" s="54"/>
    </row>
    <row r="10" spans="2:7" ht="15" customHeight="1" x14ac:dyDescent="0.2">
      <c r="B10" s="54" t="s">
        <v>46</v>
      </c>
      <c r="C10" s="54" t="s">
        <v>174</v>
      </c>
      <c r="D10" s="54" t="s">
        <v>1244</v>
      </c>
      <c r="E10" s="54" t="s">
        <v>6</v>
      </c>
      <c r="F10" s="65">
        <v>1</v>
      </c>
      <c r="G10" s="54"/>
    </row>
    <row r="11" spans="2:7" ht="15" customHeight="1" x14ac:dyDescent="0.2">
      <c r="B11" s="54" t="s">
        <v>46</v>
      </c>
      <c r="C11" s="54" t="s">
        <v>174</v>
      </c>
      <c r="D11" s="54" t="s">
        <v>1243</v>
      </c>
      <c r="E11" s="54" t="s">
        <v>6</v>
      </c>
      <c r="F11" s="65">
        <v>1</v>
      </c>
      <c r="G11" s="54"/>
    </row>
    <row r="12" spans="2:7" ht="15" customHeight="1" x14ac:dyDescent="0.2">
      <c r="B12" s="54" t="s">
        <v>46</v>
      </c>
      <c r="C12" s="54" t="s">
        <v>174</v>
      </c>
      <c r="D12" s="54" t="s">
        <v>1242</v>
      </c>
      <c r="E12" s="54" t="s">
        <v>6</v>
      </c>
      <c r="F12" s="65">
        <v>1</v>
      </c>
      <c r="G12" s="54"/>
    </row>
    <row r="13" spans="2:7" ht="15" customHeight="1" x14ac:dyDescent="0.2">
      <c r="B13" s="54" t="s">
        <v>46</v>
      </c>
      <c r="C13" s="54" t="s">
        <v>69</v>
      </c>
      <c r="D13" s="54" t="s">
        <v>1241</v>
      </c>
      <c r="E13" s="54"/>
      <c r="F13" s="65"/>
      <c r="G13" s="54"/>
    </row>
    <row r="14" spans="2:7" ht="15" customHeight="1" x14ac:dyDescent="0.2">
      <c r="B14" s="54" t="s">
        <v>46</v>
      </c>
      <c r="C14" s="54" t="s">
        <v>69</v>
      </c>
      <c r="D14" s="54" t="s">
        <v>1240</v>
      </c>
      <c r="E14" s="54" t="s">
        <v>6</v>
      </c>
      <c r="F14" s="65">
        <v>7</v>
      </c>
      <c r="G14" s="54"/>
    </row>
    <row r="15" spans="2:7" ht="15" customHeight="1" x14ac:dyDescent="0.2">
      <c r="B15" s="54" t="s">
        <v>46</v>
      </c>
      <c r="C15" s="54" t="s">
        <v>69</v>
      </c>
      <c r="D15" s="54" t="s">
        <v>1239</v>
      </c>
      <c r="E15" s="54" t="s">
        <v>6</v>
      </c>
      <c r="F15" s="65">
        <v>5</v>
      </c>
      <c r="G15" s="54"/>
    </row>
    <row r="16" spans="2:7" ht="15" customHeight="1" x14ac:dyDescent="0.2">
      <c r="B16" s="54" t="s">
        <v>46</v>
      </c>
      <c r="C16" s="54" t="s">
        <v>69</v>
      </c>
      <c r="D16" s="54" t="s">
        <v>1238</v>
      </c>
      <c r="E16" s="54" t="s">
        <v>6</v>
      </c>
      <c r="F16" s="65">
        <v>4</v>
      </c>
      <c r="G16" s="54"/>
    </row>
    <row r="17" spans="2:7" ht="15" customHeight="1" x14ac:dyDescent="0.2">
      <c r="B17" s="54" t="s">
        <v>46</v>
      </c>
      <c r="C17" s="54" t="s">
        <v>69</v>
      </c>
      <c r="D17" s="54" t="s">
        <v>1237</v>
      </c>
      <c r="E17" s="54" t="s">
        <v>6</v>
      </c>
      <c r="F17" s="65">
        <v>7</v>
      </c>
      <c r="G17" s="54"/>
    </row>
    <row r="18" spans="2:7" ht="15" customHeight="1" x14ac:dyDescent="0.2">
      <c r="B18" s="54" t="s">
        <v>46</v>
      </c>
      <c r="C18" s="54" t="s">
        <v>69</v>
      </c>
      <c r="D18" s="54" t="s">
        <v>1236</v>
      </c>
      <c r="E18" s="54" t="s">
        <v>6</v>
      </c>
      <c r="F18" s="65">
        <v>9</v>
      </c>
      <c r="G18" s="54" t="s">
        <v>1235</v>
      </c>
    </row>
    <row r="19" spans="2:7" ht="15" customHeight="1" x14ac:dyDescent="0.2">
      <c r="B19" s="54" t="s">
        <v>46</v>
      </c>
      <c r="C19" s="54" t="s">
        <v>69</v>
      </c>
      <c r="D19" s="54" t="s">
        <v>1234</v>
      </c>
      <c r="E19" s="54" t="s">
        <v>6</v>
      </c>
      <c r="F19" s="65">
        <v>2</v>
      </c>
      <c r="G19" s="54"/>
    </row>
    <row r="20" spans="2:7" ht="15" customHeight="1" x14ac:dyDescent="0.2">
      <c r="B20" s="54" t="s">
        <v>46</v>
      </c>
      <c r="C20" s="54" t="s">
        <v>69</v>
      </c>
      <c r="D20" s="54" t="s">
        <v>1233</v>
      </c>
      <c r="E20" s="54" t="s">
        <v>6</v>
      </c>
      <c r="F20" s="65">
        <v>1</v>
      </c>
      <c r="G20" s="54"/>
    </row>
    <row r="21" spans="2:7" ht="15" customHeight="1" x14ac:dyDescent="0.2">
      <c r="B21" s="54" t="s">
        <v>46</v>
      </c>
      <c r="C21" s="54" t="s">
        <v>69</v>
      </c>
      <c r="D21" s="54" t="s">
        <v>1232</v>
      </c>
      <c r="E21" s="54" t="s">
        <v>6</v>
      </c>
      <c r="F21" s="65">
        <v>4</v>
      </c>
      <c r="G21" s="54"/>
    </row>
    <row r="22" spans="2:7" ht="15" customHeight="1" x14ac:dyDescent="0.2">
      <c r="B22" s="54" t="s">
        <v>46</v>
      </c>
      <c r="C22" s="54" t="s">
        <v>69</v>
      </c>
      <c r="D22" s="54" t="s">
        <v>1231</v>
      </c>
      <c r="E22" s="54" t="s">
        <v>6</v>
      </c>
      <c r="F22" s="65">
        <v>2</v>
      </c>
      <c r="G22" s="54"/>
    </row>
    <row r="23" spans="2:7" ht="15" customHeight="1" x14ac:dyDescent="0.2">
      <c r="B23" s="54" t="s">
        <v>46</v>
      </c>
      <c r="C23" s="54" t="s">
        <v>69</v>
      </c>
      <c r="D23" s="54" t="s">
        <v>1230</v>
      </c>
      <c r="E23" s="54" t="s">
        <v>6</v>
      </c>
      <c r="F23" s="65">
        <v>2</v>
      </c>
      <c r="G23" s="54"/>
    </row>
    <row r="24" spans="2:7" ht="15" customHeight="1" x14ac:dyDescent="0.2">
      <c r="B24" s="54" t="s">
        <v>46</v>
      </c>
      <c r="C24" s="54" t="s">
        <v>69</v>
      </c>
      <c r="D24" s="54" t="s">
        <v>1229</v>
      </c>
      <c r="E24" s="54" t="s">
        <v>6</v>
      </c>
      <c r="F24" s="65">
        <v>4</v>
      </c>
      <c r="G24" s="54"/>
    </row>
    <row r="25" spans="2:7" ht="15" customHeight="1" x14ac:dyDescent="0.2">
      <c r="B25" s="54" t="s">
        <v>46</v>
      </c>
      <c r="C25" s="54" t="s">
        <v>69</v>
      </c>
      <c r="D25" s="54" t="s">
        <v>1228</v>
      </c>
      <c r="E25" s="54" t="s">
        <v>6</v>
      </c>
      <c r="F25" s="65">
        <v>2</v>
      </c>
      <c r="G25" s="54"/>
    </row>
    <row r="26" spans="2:7" ht="15" customHeight="1" x14ac:dyDescent="0.2">
      <c r="B26" s="54" t="s">
        <v>46</v>
      </c>
      <c r="C26" s="54" t="s">
        <v>69</v>
      </c>
      <c r="D26" s="54" t="s">
        <v>1227</v>
      </c>
      <c r="E26" s="54" t="s">
        <v>6</v>
      </c>
      <c r="F26" s="65">
        <v>1</v>
      </c>
      <c r="G26" s="54"/>
    </row>
    <row r="27" spans="2:7" ht="15" customHeight="1" x14ac:dyDescent="0.2">
      <c r="B27" s="54" t="s">
        <v>46</v>
      </c>
      <c r="C27" s="54" t="s">
        <v>69</v>
      </c>
      <c r="D27" s="54" t="s">
        <v>1226</v>
      </c>
      <c r="E27" s="54" t="s">
        <v>6</v>
      </c>
      <c r="F27" s="65">
        <v>1</v>
      </c>
      <c r="G27" s="54"/>
    </row>
    <row r="28" spans="2:7" ht="15" customHeight="1" x14ac:dyDescent="0.2">
      <c r="B28" s="54" t="s">
        <v>46</v>
      </c>
      <c r="C28" s="54" t="s">
        <v>69</v>
      </c>
      <c r="D28" s="54" t="s">
        <v>983</v>
      </c>
      <c r="E28" s="54" t="s">
        <v>6</v>
      </c>
      <c r="F28" s="65">
        <v>1</v>
      </c>
      <c r="G28" s="54"/>
    </row>
    <row r="29" spans="2:7" ht="15" customHeight="1" x14ac:dyDescent="0.2">
      <c r="B29" s="54" t="s">
        <v>46</v>
      </c>
      <c r="C29" s="54" t="s">
        <v>69</v>
      </c>
      <c r="D29" s="54" t="s">
        <v>1225</v>
      </c>
      <c r="E29" s="54" t="s">
        <v>6</v>
      </c>
      <c r="F29" s="65">
        <v>1</v>
      </c>
      <c r="G29" s="54"/>
    </row>
    <row r="30" spans="2:7" ht="15" customHeight="1" x14ac:dyDescent="0.2">
      <c r="B30" s="54" t="s">
        <v>46</v>
      </c>
      <c r="C30" s="54" t="s">
        <v>69</v>
      </c>
      <c r="D30" s="54" t="s">
        <v>1224</v>
      </c>
      <c r="E30" s="54" t="s">
        <v>6</v>
      </c>
      <c r="F30" s="65">
        <v>1</v>
      </c>
      <c r="G30" s="54"/>
    </row>
    <row r="31" spans="2:7" ht="15" customHeight="1" x14ac:dyDescent="0.2">
      <c r="B31" s="54" t="s">
        <v>46</v>
      </c>
      <c r="C31" s="54" t="s">
        <v>69</v>
      </c>
      <c r="D31" s="54" t="s">
        <v>1223</v>
      </c>
      <c r="E31" s="54" t="s">
        <v>6</v>
      </c>
      <c r="F31" s="65">
        <v>1</v>
      </c>
      <c r="G31" s="54"/>
    </row>
    <row r="32" spans="2:7" ht="15" customHeight="1" x14ac:dyDescent="0.2">
      <c r="B32" s="54" t="s">
        <v>46</v>
      </c>
      <c r="C32" s="54" t="s">
        <v>1183</v>
      </c>
      <c r="D32" s="54" t="s">
        <v>1222</v>
      </c>
      <c r="E32" s="54" t="s">
        <v>6</v>
      </c>
      <c r="F32" s="65">
        <v>3</v>
      </c>
      <c r="G32" s="54" t="s">
        <v>1221</v>
      </c>
    </row>
    <row r="33" spans="2:7" ht="15" customHeight="1" x14ac:dyDescent="0.2">
      <c r="B33" s="54" t="s">
        <v>46</v>
      </c>
      <c r="C33" s="54" t="s">
        <v>1183</v>
      </c>
      <c r="D33" s="54" t="s">
        <v>1220</v>
      </c>
      <c r="E33" s="54" t="s">
        <v>6</v>
      </c>
      <c r="F33" s="65">
        <v>3</v>
      </c>
      <c r="G33" s="54"/>
    </row>
    <row r="34" spans="2:7" ht="15" customHeight="1" x14ac:dyDescent="0.2">
      <c r="B34" s="54" t="s">
        <v>46</v>
      </c>
      <c r="C34" s="54" t="s">
        <v>1183</v>
      </c>
      <c r="D34" s="54" t="s">
        <v>1219</v>
      </c>
      <c r="E34" s="54" t="s">
        <v>6</v>
      </c>
      <c r="F34" s="65">
        <v>1</v>
      </c>
      <c r="G34" s="54"/>
    </row>
    <row r="35" spans="2:7" ht="15" customHeight="1" x14ac:dyDescent="0.2">
      <c r="B35" s="54" t="s">
        <v>46</v>
      </c>
      <c r="C35" s="54" t="s">
        <v>1183</v>
      </c>
      <c r="D35" s="54" t="s">
        <v>1218</v>
      </c>
      <c r="E35" s="54" t="s">
        <v>6</v>
      </c>
      <c r="F35" s="65">
        <v>2</v>
      </c>
      <c r="G35" s="54"/>
    </row>
    <row r="36" spans="2:7" ht="15" customHeight="1" x14ac:dyDescent="0.2">
      <c r="B36" s="54" t="s">
        <v>46</v>
      </c>
      <c r="C36" s="54" t="s">
        <v>1183</v>
      </c>
      <c r="D36" s="54" t="s">
        <v>1217</v>
      </c>
      <c r="E36" s="54" t="s">
        <v>6</v>
      </c>
      <c r="F36" s="65">
        <v>2</v>
      </c>
      <c r="G36" s="54"/>
    </row>
    <row r="37" spans="2:7" ht="15" customHeight="1" x14ac:dyDescent="0.2">
      <c r="B37" s="54" t="s">
        <v>46</v>
      </c>
      <c r="C37" s="54" t="s">
        <v>1183</v>
      </c>
      <c r="D37" s="54" t="s">
        <v>1216</v>
      </c>
      <c r="E37" s="54" t="s">
        <v>6</v>
      </c>
      <c r="F37" s="65">
        <v>3</v>
      </c>
      <c r="G37" s="54"/>
    </row>
    <row r="38" spans="2:7" ht="15" customHeight="1" x14ac:dyDescent="0.2">
      <c r="B38" s="54" t="s">
        <v>46</v>
      </c>
      <c r="C38" s="54" t="s">
        <v>1183</v>
      </c>
      <c r="D38" s="54" t="s">
        <v>1215</v>
      </c>
      <c r="E38" s="54" t="s">
        <v>6</v>
      </c>
      <c r="F38" s="65">
        <v>1</v>
      </c>
      <c r="G38" s="54"/>
    </row>
    <row r="39" spans="2:7" ht="15" customHeight="1" x14ac:dyDescent="0.2">
      <c r="B39" s="54" t="s">
        <v>46</v>
      </c>
      <c r="C39" s="54" t="s">
        <v>1183</v>
      </c>
      <c r="D39" s="54" t="s">
        <v>1214</v>
      </c>
      <c r="E39" s="54" t="s">
        <v>6</v>
      </c>
      <c r="F39" s="65">
        <v>2</v>
      </c>
      <c r="G39" s="54"/>
    </row>
    <row r="40" spans="2:7" ht="15" customHeight="1" x14ac:dyDescent="0.2">
      <c r="B40" s="54" t="s">
        <v>46</v>
      </c>
      <c r="C40" s="54" t="s">
        <v>1183</v>
      </c>
      <c r="D40" s="54" t="s">
        <v>1213</v>
      </c>
      <c r="E40" s="54" t="s">
        <v>6</v>
      </c>
      <c r="F40" s="65">
        <v>3</v>
      </c>
      <c r="G40" s="54"/>
    </row>
    <row r="41" spans="2:7" ht="15" customHeight="1" x14ac:dyDescent="0.2">
      <c r="B41" s="54" t="s">
        <v>46</v>
      </c>
      <c r="C41" s="54" t="s">
        <v>1183</v>
      </c>
      <c r="D41" s="54" t="s">
        <v>1212</v>
      </c>
      <c r="E41" s="54" t="s">
        <v>6</v>
      </c>
      <c r="F41" s="65">
        <v>5</v>
      </c>
      <c r="G41" s="54"/>
    </row>
    <row r="42" spans="2:7" ht="15" customHeight="1" x14ac:dyDescent="0.2">
      <c r="B42" s="54" t="s">
        <v>46</v>
      </c>
      <c r="C42" s="54" t="s">
        <v>1183</v>
      </c>
      <c r="D42" s="54" t="s">
        <v>1211</v>
      </c>
      <c r="E42" s="54" t="s">
        <v>6</v>
      </c>
      <c r="F42" s="65">
        <v>3</v>
      </c>
      <c r="G42" s="54"/>
    </row>
    <row r="43" spans="2:7" ht="15" customHeight="1" x14ac:dyDescent="0.2">
      <c r="B43" s="54" t="s">
        <v>46</v>
      </c>
      <c r="C43" s="54" t="s">
        <v>1183</v>
      </c>
      <c r="D43" s="54" t="s">
        <v>1210</v>
      </c>
      <c r="E43" s="54" t="s">
        <v>6</v>
      </c>
      <c r="F43" s="65">
        <v>1</v>
      </c>
      <c r="G43" s="54"/>
    </row>
    <row r="44" spans="2:7" ht="15" customHeight="1" x14ac:dyDescent="0.2">
      <c r="B44" s="54" t="s">
        <v>46</v>
      </c>
      <c r="C44" s="54" t="s">
        <v>1183</v>
      </c>
      <c r="D44" s="54" t="s">
        <v>1209</v>
      </c>
      <c r="E44" s="54" t="s">
        <v>6</v>
      </c>
      <c r="F44" s="65">
        <v>1</v>
      </c>
      <c r="G44" s="54"/>
    </row>
    <row r="45" spans="2:7" ht="15" customHeight="1" x14ac:dyDescent="0.2">
      <c r="B45" s="54" t="s">
        <v>46</v>
      </c>
      <c r="C45" s="54" t="s">
        <v>1183</v>
      </c>
      <c r="D45" s="54" t="s">
        <v>1208</v>
      </c>
      <c r="E45" s="54" t="s">
        <v>6</v>
      </c>
      <c r="F45" s="65">
        <v>2</v>
      </c>
      <c r="G45" s="54"/>
    </row>
    <row r="46" spans="2:7" ht="15" customHeight="1" x14ac:dyDescent="0.2">
      <c r="B46" s="54" t="s">
        <v>46</v>
      </c>
      <c r="C46" s="54" t="s">
        <v>1183</v>
      </c>
      <c r="D46" s="54" t="s">
        <v>1207</v>
      </c>
      <c r="E46" s="54" t="s">
        <v>6</v>
      </c>
      <c r="F46" s="65">
        <v>1</v>
      </c>
      <c r="G46" s="54" t="s">
        <v>1206</v>
      </c>
    </row>
    <row r="47" spans="2:7" ht="15" customHeight="1" x14ac:dyDescent="0.2">
      <c r="B47" s="54" t="s">
        <v>46</v>
      </c>
      <c r="C47" s="54" t="s">
        <v>1183</v>
      </c>
      <c r="D47" s="54" t="s">
        <v>1205</v>
      </c>
      <c r="E47" s="54" t="s">
        <v>6</v>
      </c>
      <c r="F47" s="65">
        <v>2</v>
      </c>
      <c r="G47" s="54"/>
    </row>
    <row r="48" spans="2:7" ht="15" customHeight="1" x14ac:dyDescent="0.2">
      <c r="B48" s="54" t="s">
        <v>46</v>
      </c>
      <c r="C48" s="54" t="s">
        <v>1183</v>
      </c>
      <c r="D48" s="54" t="s">
        <v>1204</v>
      </c>
      <c r="E48" s="54" t="s">
        <v>6</v>
      </c>
      <c r="F48" s="65">
        <v>2</v>
      </c>
      <c r="G48" s="54" t="s">
        <v>1203</v>
      </c>
    </row>
    <row r="49" spans="2:7" ht="15" customHeight="1" x14ac:dyDescent="0.2">
      <c r="B49" s="54" t="s">
        <v>46</v>
      </c>
      <c r="C49" s="54" t="s">
        <v>1183</v>
      </c>
      <c r="D49" s="54" t="s">
        <v>1202</v>
      </c>
      <c r="E49" s="54" t="s">
        <v>6</v>
      </c>
      <c r="F49" s="65">
        <v>3</v>
      </c>
      <c r="G49" s="54" t="s">
        <v>1201</v>
      </c>
    </row>
    <row r="50" spans="2:7" ht="15" customHeight="1" x14ac:dyDescent="0.2">
      <c r="B50" s="54" t="s">
        <v>46</v>
      </c>
      <c r="C50" s="54" t="s">
        <v>1183</v>
      </c>
      <c r="D50" s="54" t="s">
        <v>1200</v>
      </c>
      <c r="E50" s="54" t="s">
        <v>6</v>
      </c>
      <c r="F50" s="65">
        <v>1</v>
      </c>
      <c r="G50" s="54"/>
    </row>
    <row r="51" spans="2:7" ht="15" customHeight="1" x14ac:dyDescent="0.2">
      <c r="B51" s="54" t="s">
        <v>46</v>
      </c>
      <c r="C51" s="54" t="s">
        <v>1183</v>
      </c>
      <c r="D51" s="54" t="s">
        <v>1192</v>
      </c>
      <c r="E51" s="54" t="s">
        <v>6</v>
      </c>
      <c r="F51" s="65">
        <v>1</v>
      </c>
      <c r="G51" s="54"/>
    </row>
    <row r="52" spans="2:7" ht="15" customHeight="1" x14ac:dyDescent="0.2">
      <c r="B52" s="54" t="s">
        <v>46</v>
      </c>
      <c r="C52" s="54" t="s">
        <v>1183</v>
      </c>
      <c r="D52" s="54" t="s">
        <v>1199</v>
      </c>
      <c r="E52" s="54" t="s">
        <v>6</v>
      </c>
      <c r="F52" s="65">
        <v>1</v>
      </c>
      <c r="G52" s="54"/>
    </row>
    <row r="53" spans="2:7" ht="15" customHeight="1" x14ac:dyDescent="0.2">
      <c r="B53" s="54" t="s">
        <v>46</v>
      </c>
      <c r="C53" s="54" t="s">
        <v>1183</v>
      </c>
      <c r="D53" s="54" t="s">
        <v>1198</v>
      </c>
      <c r="E53" s="54" t="s">
        <v>6</v>
      </c>
      <c r="F53" s="65">
        <v>4</v>
      </c>
      <c r="G53" s="54" t="s">
        <v>1197</v>
      </c>
    </row>
    <row r="54" spans="2:7" ht="15" customHeight="1" x14ac:dyDescent="0.2">
      <c r="B54" s="54" t="s">
        <v>46</v>
      </c>
      <c r="C54" s="54" t="s">
        <v>1183</v>
      </c>
      <c r="D54" s="54" t="s">
        <v>1196</v>
      </c>
      <c r="E54" s="54" t="s">
        <v>6</v>
      </c>
      <c r="F54" s="65">
        <v>11</v>
      </c>
      <c r="G54" s="54"/>
    </row>
    <row r="55" spans="2:7" ht="15" customHeight="1" x14ac:dyDescent="0.2">
      <c r="B55" s="54" t="s">
        <v>46</v>
      </c>
      <c r="C55" s="54" t="s">
        <v>1183</v>
      </c>
      <c r="D55" s="54" t="s">
        <v>1195</v>
      </c>
      <c r="E55" s="54" t="s">
        <v>6</v>
      </c>
      <c r="F55" s="65">
        <v>4</v>
      </c>
      <c r="G55" s="54"/>
    </row>
    <row r="56" spans="2:7" ht="15" customHeight="1" x14ac:dyDescent="0.2">
      <c r="B56" s="54" t="s">
        <v>46</v>
      </c>
      <c r="C56" s="54" t="s">
        <v>1183</v>
      </c>
      <c r="D56" s="54" t="s">
        <v>1194</v>
      </c>
      <c r="E56" s="54" t="s">
        <v>6</v>
      </c>
      <c r="F56" s="65">
        <v>3</v>
      </c>
      <c r="G56" s="54"/>
    </row>
    <row r="57" spans="2:7" ht="15" customHeight="1" x14ac:dyDescent="0.2">
      <c r="B57" s="54" t="s">
        <v>46</v>
      </c>
      <c r="C57" s="54" t="s">
        <v>1183</v>
      </c>
      <c r="D57" s="54" t="s">
        <v>1185</v>
      </c>
      <c r="E57" s="54" t="s">
        <v>6</v>
      </c>
      <c r="F57" s="65">
        <v>3</v>
      </c>
      <c r="G57" s="54"/>
    </row>
    <row r="58" spans="2:7" ht="15" customHeight="1" x14ac:dyDescent="0.2">
      <c r="B58" s="54" t="s">
        <v>46</v>
      </c>
      <c r="C58" s="54" t="s">
        <v>1183</v>
      </c>
      <c r="D58" s="54" t="s">
        <v>1193</v>
      </c>
      <c r="E58" s="54" t="s">
        <v>6</v>
      </c>
      <c r="F58" s="65">
        <v>2</v>
      </c>
      <c r="G58" s="54"/>
    </row>
    <row r="59" spans="2:7" ht="15" customHeight="1" x14ac:dyDescent="0.2">
      <c r="B59" s="54" t="s">
        <v>46</v>
      </c>
      <c r="C59" s="54" t="s">
        <v>1183</v>
      </c>
      <c r="D59" s="54" t="s">
        <v>1192</v>
      </c>
      <c r="E59" s="54" t="s">
        <v>6</v>
      </c>
      <c r="F59" s="65">
        <v>1</v>
      </c>
      <c r="G59" s="54"/>
    </row>
    <row r="60" spans="2:7" ht="15" customHeight="1" x14ac:dyDescent="0.2">
      <c r="B60" s="54" t="s">
        <v>46</v>
      </c>
      <c r="C60" s="54" t="s">
        <v>1183</v>
      </c>
      <c r="D60" s="54" t="s">
        <v>1191</v>
      </c>
      <c r="E60" s="54" t="s">
        <v>6</v>
      </c>
      <c r="F60" s="65">
        <v>1</v>
      </c>
      <c r="G60" s="54"/>
    </row>
    <row r="61" spans="2:7" ht="15" customHeight="1" x14ac:dyDescent="0.2">
      <c r="B61" s="54" t="s">
        <v>46</v>
      </c>
      <c r="C61" s="54" t="s">
        <v>1183</v>
      </c>
      <c r="D61" s="54" t="s">
        <v>1190</v>
      </c>
      <c r="E61" s="54" t="s">
        <v>6</v>
      </c>
      <c r="F61" s="65">
        <v>1</v>
      </c>
      <c r="G61" s="54"/>
    </row>
    <row r="62" spans="2:7" ht="15" customHeight="1" x14ac:dyDescent="0.2">
      <c r="B62" s="54" t="s">
        <v>46</v>
      </c>
      <c r="C62" s="54" t="s">
        <v>1183</v>
      </c>
      <c r="D62" s="54" t="s">
        <v>1189</v>
      </c>
      <c r="E62" s="54" t="s">
        <v>6</v>
      </c>
      <c r="F62" s="65">
        <v>13</v>
      </c>
      <c r="G62" s="54" t="s">
        <v>1188</v>
      </c>
    </row>
    <row r="63" spans="2:7" ht="15" customHeight="1" x14ac:dyDescent="0.2">
      <c r="B63" s="54" t="s">
        <v>46</v>
      </c>
      <c r="C63" s="54" t="s">
        <v>1183</v>
      </c>
      <c r="D63" s="54" t="s">
        <v>1187</v>
      </c>
      <c r="E63" s="54" t="s">
        <v>6</v>
      </c>
      <c r="F63" s="65">
        <v>1</v>
      </c>
      <c r="G63" s="54" t="s">
        <v>1186</v>
      </c>
    </row>
    <row r="64" spans="2:7" ht="15" customHeight="1" x14ac:dyDescent="0.2">
      <c r="B64" s="54" t="s">
        <v>46</v>
      </c>
      <c r="C64" s="54" t="s">
        <v>1183</v>
      </c>
      <c r="D64" s="54" t="s">
        <v>1185</v>
      </c>
      <c r="E64" s="54" t="s">
        <v>6</v>
      </c>
      <c r="F64" s="65">
        <v>2</v>
      </c>
      <c r="G64" s="54" t="s">
        <v>1184</v>
      </c>
    </row>
    <row r="65" spans="2:7" ht="15" customHeight="1" x14ac:dyDescent="0.2">
      <c r="B65" s="54" t="s">
        <v>46</v>
      </c>
      <c r="C65" s="54" t="s">
        <v>1183</v>
      </c>
      <c r="D65" s="54" t="s">
        <v>1182</v>
      </c>
      <c r="E65" s="54" t="s">
        <v>6</v>
      </c>
      <c r="F65" s="65">
        <v>1</v>
      </c>
      <c r="G65" s="54"/>
    </row>
    <row r="66" spans="2:7" ht="15" customHeight="1" x14ac:dyDescent="0.2">
      <c r="B66" s="54" t="s">
        <v>1181</v>
      </c>
      <c r="C66" s="54" t="s">
        <v>1121</v>
      </c>
      <c r="D66" s="54" t="s">
        <v>1180</v>
      </c>
      <c r="E66" s="54" t="s">
        <v>6</v>
      </c>
      <c r="F66" s="65">
        <v>5</v>
      </c>
      <c r="G66" s="54"/>
    </row>
    <row r="67" spans="2:7" ht="15" customHeight="1" x14ac:dyDescent="0.2">
      <c r="B67" s="54" t="s">
        <v>1179</v>
      </c>
      <c r="C67" s="54" t="s">
        <v>1121</v>
      </c>
      <c r="D67" s="54" t="s">
        <v>792</v>
      </c>
      <c r="E67" s="54" t="s">
        <v>6</v>
      </c>
      <c r="F67" s="65">
        <v>7</v>
      </c>
      <c r="G67" s="54"/>
    </row>
    <row r="68" spans="2:7" ht="15" customHeight="1" x14ac:dyDescent="0.2">
      <c r="B68" s="54" t="s">
        <v>1178</v>
      </c>
      <c r="C68" s="54" t="s">
        <v>903</v>
      </c>
      <c r="D68" s="54" t="s">
        <v>1177</v>
      </c>
      <c r="E68" s="54" t="s">
        <v>6</v>
      </c>
      <c r="F68" s="65">
        <v>6</v>
      </c>
      <c r="G68" s="54"/>
    </row>
    <row r="69" spans="2:7" ht="15" customHeight="1" x14ac:dyDescent="0.2">
      <c r="B69" s="54" t="s">
        <v>1176</v>
      </c>
      <c r="C69" s="54" t="s">
        <v>882</v>
      </c>
      <c r="D69" s="54" t="s">
        <v>1175</v>
      </c>
      <c r="E69" s="54" t="s">
        <v>6</v>
      </c>
      <c r="F69" s="65">
        <v>6</v>
      </c>
      <c r="G69" s="54"/>
    </row>
    <row r="70" spans="2:7" ht="15" customHeight="1" x14ac:dyDescent="0.2">
      <c r="B70" s="54">
        <v>3102008078</v>
      </c>
      <c r="C70" s="54" t="s">
        <v>903</v>
      </c>
      <c r="D70" s="54" t="s">
        <v>809</v>
      </c>
      <c r="E70" s="54" t="s">
        <v>6</v>
      </c>
      <c r="F70" s="65">
        <v>8</v>
      </c>
      <c r="G70" s="54"/>
    </row>
    <row r="71" spans="2:7" ht="15" customHeight="1" x14ac:dyDescent="0.2">
      <c r="B71" s="54" t="s">
        <v>1174</v>
      </c>
      <c r="C71" s="54" t="s">
        <v>875</v>
      </c>
      <c r="D71" s="54" t="s">
        <v>1173</v>
      </c>
      <c r="E71" s="54" t="s">
        <v>6</v>
      </c>
      <c r="F71" s="65">
        <v>6</v>
      </c>
      <c r="G71" s="54"/>
    </row>
    <row r="72" spans="2:7" ht="15" customHeight="1" x14ac:dyDescent="0.2">
      <c r="B72" s="54" t="s">
        <v>1172</v>
      </c>
      <c r="C72" s="54" t="s">
        <v>875</v>
      </c>
      <c r="D72" s="54" t="s">
        <v>1171</v>
      </c>
      <c r="E72" s="54" t="s">
        <v>6</v>
      </c>
      <c r="F72" s="65">
        <v>2</v>
      </c>
      <c r="G72" s="54"/>
    </row>
    <row r="73" spans="2:7" ht="15" customHeight="1" x14ac:dyDescent="0.2">
      <c r="B73" s="54" t="s">
        <v>1170</v>
      </c>
      <c r="C73" s="54" t="s">
        <v>1121</v>
      </c>
      <c r="D73" s="54" t="s">
        <v>1169</v>
      </c>
      <c r="E73" s="54" t="s">
        <v>6</v>
      </c>
      <c r="F73" s="65">
        <v>3</v>
      </c>
      <c r="G73" s="54"/>
    </row>
    <row r="74" spans="2:7" ht="15" customHeight="1" x14ac:dyDescent="0.2">
      <c r="B74" s="54" t="s">
        <v>1168</v>
      </c>
      <c r="C74" s="54" t="s">
        <v>1121</v>
      </c>
      <c r="D74" s="54" t="s">
        <v>807</v>
      </c>
      <c r="E74" s="54" t="s">
        <v>6</v>
      </c>
      <c r="F74" s="65">
        <v>14</v>
      </c>
      <c r="G74" s="54"/>
    </row>
    <row r="75" spans="2:7" ht="15" customHeight="1" x14ac:dyDescent="0.2">
      <c r="B75" s="54" t="s">
        <v>1167</v>
      </c>
      <c r="C75" s="54" t="s">
        <v>903</v>
      </c>
      <c r="D75" s="54" t="s">
        <v>1166</v>
      </c>
      <c r="E75" s="54" t="s">
        <v>6</v>
      </c>
      <c r="F75" s="65">
        <v>1</v>
      </c>
      <c r="G75" s="54"/>
    </row>
    <row r="76" spans="2:7" ht="15" customHeight="1" x14ac:dyDescent="0.2">
      <c r="B76" s="54">
        <v>3102007667</v>
      </c>
      <c r="C76" s="54" t="s">
        <v>879</v>
      </c>
      <c r="D76" s="54" t="s">
        <v>1165</v>
      </c>
      <c r="E76" s="54" t="s">
        <v>6</v>
      </c>
      <c r="F76" s="65">
        <v>5</v>
      </c>
      <c r="G76" s="54"/>
    </row>
    <row r="77" spans="2:7" ht="15" customHeight="1" x14ac:dyDescent="0.2">
      <c r="B77" s="54" t="s">
        <v>1164</v>
      </c>
      <c r="C77" s="54" t="s">
        <v>875</v>
      </c>
      <c r="D77" s="54" t="s">
        <v>1163</v>
      </c>
      <c r="E77" s="54" t="s">
        <v>6</v>
      </c>
      <c r="F77" s="65">
        <v>29</v>
      </c>
      <c r="G77" s="54" t="s">
        <v>1162</v>
      </c>
    </row>
    <row r="78" spans="2:7" ht="15" customHeight="1" x14ac:dyDescent="0.2">
      <c r="B78" s="54" t="s">
        <v>1161</v>
      </c>
      <c r="C78" s="54" t="s">
        <v>903</v>
      </c>
      <c r="D78" s="54" t="s">
        <v>1160</v>
      </c>
      <c r="E78" s="54" t="s">
        <v>6</v>
      </c>
      <c r="F78" s="65">
        <v>29</v>
      </c>
      <c r="G78" s="54"/>
    </row>
    <row r="79" spans="2:7" ht="15" customHeight="1" x14ac:dyDescent="0.2">
      <c r="B79" s="54" t="s">
        <v>1159</v>
      </c>
      <c r="C79" s="54" t="s">
        <v>903</v>
      </c>
      <c r="D79" s="54" t="s">
        <v>793</v>
      </c>
      <c r="E79" s="54" t="s">
        <v>6</v>
      </c>
      <c r="F79" s="65">
        <v>9</v>
      </c>
      <c r="G79" s="54"/>
    </row>
    <row r="80" spans="2:7" ht="15" customHeight="1" x14ac:dyDescent="0.2">
      <c r="B80" s="54">
        <v>3102004929</v>
      </c>
      <c r="C80" s="54" t="s">
        <v>962</v>
      </c>
      <c r="D80" s="54" t="s">
        <v>1158</v>
      </c>
      <c r="E80" s="54" t="s">
        <v>6</v>
      </c>
      <c r="F80" s="65">
        <v>12</v>
      </c>
      <c r="G80" s="54"/>
    </row>
    <row r="81" spans="2:7" ht="15" customHeight="1" x14ac:dyDescent="0.2">
      <c r="B81" s="54">
        <v>3102008107</v>
      </c>
      <c r="C81" s="54" t="s">
        <v>962</v>
      </c>
      <c r="D81" s="54" t="s">
        <v>1157</v>
      </c>
      <c r="E81" s="54" t="s">
        <v>6</v>
      </c>
      <c r="F81" s="65">
        <v>2</v>
      </c>
      <c r="G81" s="54"/>
    </row>
    <row r="82" spans="2:7" ht="15" customHeight="1" x14ac:dyDescent="0.2">
      <c r="B82" s="54">
        <v>3102008118</v>
      </c>
      <c r="C82" s="54" t="s">
        <v>962</v>
      </c>
      <c r="D82" s="54" t="s">
        <v>1156</v>
      </c>
      <c r="E82" s="54" t="s">
        <v>6</v>
      </c>
      <c r="F82" s="65">
        <v>10</v>
      </c>
      <c r="G82" s="54"/>
    </row>
    <row r="83" spans="2:7" ht="15" customHeight="1" x14ac:dyDescent="0.2">
      <c r="B83" s="54">
        <v>3102008119</v>
      </c>
      <c r="C83" s="54" t="s">
        <v>962</v>
      </c>
      <c r="D83" s="54" t="s">
        <v>1155</v>
      </c>
      <c r="E83" s="54" t="s">
        <v>6</v>
      </c>
      <c r="F83" s="65">
        <v>10</v>
      </c>
      <c r="G83" s="54"/>
    </row>
    <row r="84" spans="2:7" ht="15" customHeight="1" x14ac:dyDescent="0.2">
      <c r="B84" s="54">
        <v>3102008097</v>
      </c>
      <c r="C84" s="54" t="s">
        <v>903</v>
      </c>
      <c r="D84" s="54" t="s">
        <v>1154</v>
      </c>
      <c r="E84" s="54" t="s">
        <v>6</v>
      </c>
      <c r="F84" s="65">
        <v>8</v>
      </c>
      <c r="G84" s="54"/>
    </row>
    <row r="85" spans="2:7" ht="15" customHeight="1" x14ac:dyDescent="0.2">
      <c r="B85" s="54" t="s">
        <v>1153</v>
      </c>
      <c r="C85" s="54" t="s">
        <v>875</v>
      </c>
      <c r="D85" s="54" t="s">
        <v>1152</v>
      </c>
      <c r="E85" s="54" t="s">
        <v>6</v>
      </c>
      <c r="F85" s="65">
        <v>20</v>
      </c>
      <c r="G85" s="54"/>
    </row>
    <row r="86" spans="2:7" ht="15" customHeight="1" x14ac:dyDescent="0.2">
      <c r="B86" s="54" t="s">
        <v>1151</v>
      </c>
      <c r="C86" s="54" t="s">
        <v>875</v>
      </c>
      <c r="D86" s="54" t="s">
        <v>1150</v>
      </c>
      <c r="E86" s="54" t="s">
        <v>6</v>
      </c>
      <c r="F86" s="65">
        <v>30</v>
      </c>
      <c r="G86" s="54"/>
    </row>
    <row r="87" spans="2:7" ht="15" customHeight="1" x14ac:dyDescent="0.2">
      <c r="B87" s="54" t="s">
        <v>1149</v>
      </c>
      <c r="C87" s="54" t="s">
        <v>910</v>
      </c>
      <c r="D87" s="54" t="s">
        <v>795</v>
      </c>
      <c r="E87" s="54" t="s">
        <v>6</v>
      </c>
      <c r="F87" s="65">
        <v>4</v>
      </c>
      <c r="G87" s="54"/>
    </row>
    <row r="88" spans="2:7" ht="15" customHeight="1" x14ac:dyDescent="0.2">
      <c r="B88" s="54" t="s">
        <v>609</v>
      </c>
      <c r="C88" s="54" t="s">
        <v>927</v>
      </c>
      <c r="D88" s="54" t="s">
        <v>796</v>
      </c>
      <c r="E88" s="54" t="s">
        <v>6</v>
      </c>
      <c r="F88" s="65">
        <v>8</v>
      </c>
      <c r="G88" s="54"/>
    </row>
    <row r="89" spans="2:7" ht="15" customHeight="1" x14ac:dyDescent="0.2">
      <c r="B89" s="54" t="s">
        <v>1148</v>
      </c>
      <c r="C89" s="54" t="s">
        <v>910</v>
      </c>
      <c r="D89" s="54" t="s">
        <v>1147</v>
      </c>
      <c r="E89" s="54" t="s">
        <v>6</v>
      </c>
      <c r="F89" s="65">
        <v>2</v>
      </c>
      <c r="G89" s="54"/>
    </row>
    <row r="90" spans="2:7" ht="15" customHeight="1" x14ac:dyDescent="0.2">
      <c r="B90" s="54" t="s">
        <v>1146</v>
      </c>
      <c r="C90" s="54" t="s">
        <v>882</v>
      </c>
      <c r="D90" s="54" t="s">
        <v>794</v>
      </c>
      <c r="E90" s="54" t="s">
        <v>6</v>
      </c>
      <c r="F90" s="65">
        <v>6</v>
      </c>
      <c r="G90" s="54"/>
    </row>
    <row r="91" spans="2:7" ht="15" customHeight="1" x14ac:dyDescent="0.2">
      <c r="B91" s="54" t="s">
        <v>475</v>
      </c>
      <c r="C91" s="54" t="s">
        <v>919</v>
      </c>
      <c r="D91" s="54" t="s">
        <v>1256</v>
      </c>
      <c r="E91" s="54" t="s">
        <v>6</v>
      </c>
      <c r="F91" s="65">
        <v>43</v>
      </c>
      <c r="G91" s="54"/>
    </row>
    <row r="92" spans="2:7" ht="15" customHeight="1" x14ac:dyDescent="0.2">
      <c r="B92" s="54" t="s">
        <v>1145</v>
      </c>
      <c r="C92" s="54" t="s">
        <v>875</v>
      </c>
      <c r="D92" s="54" t="s">
        <v>1257</v>
      </c>
      <c r="E92" s="54" t="s">
        <v>6</v>
      </c>
      <c r="F92" s="65">
        <v>10</v>
      </c>
      <c r="G92" s="54"/>
    </row>
    <row r="93" spans="2:7" ht="15" customHeight="1" x14ac:dyDescent="0.2">
      <c r="B93" s="54">
        <v>3102050608</v>
      </c>
      <c r="C93" s="54" t="s">
        <v>962</v>
      </c>
      <c r="D93" s="54" t="s">
        <v>1144</v>
      </c>
      <c r="E93" s="54" t="s">
        <v>6</v>
      </c>
      <c r="F93" s="65">
        <v>5</v>
      </c>
      <c r="G93" s="54"/>
    </row>
    <row r="94" spans="2:7" ht="15" customHeight="1" x14ac:dyDescent="0.2">
      <c r="B94" s="54" t="s">
        <v>1143</v>
      </c>
      <c r="C94" s="54" t="s">
        <v>903</v>
      </c>
      <c r="D94" s="54" t="s">
        <v>1142</v>
      </c>
      <c r="E94" s="54" t="s">
        <v>6</v>
      </c>
      <c r="F94" s="65">
        <v>1</v>
      </c>
      <c r="G94" s="54"/>
    </row>
    <row r="95" spans="2:7" ht="15" customHeight="1" x14ac:dyDescent="0.2">
      <c r="B95" s="54" t="s">
        <v>1141</v>
      </c>
      <c r="C95" s="54" t="s">
        <v>910</v>
      </c>
      <c r="D95" s="54" t="s">
        <v>1140</v>
      </c>
      <c r="E95" s="54" t="s">
        <v>6</v>
      </c>
      <c r="F95" s="65">
        <v>2</v>
      </c>
      <c r="G95" s="54"/>
    </row>
    <row r="96" spans="2:7" ht="15" customHeight="1" x14ac:dyDescent="0.2">
      <c r="B96" s="54" t="s">
        <v>1139</v>
      </c>
      <c r="C96" s="54" t="s">
        <v>910</v>
      </c>
      <c r="D96" s="54" t="s">
        <v>1138</v>
      </c>
      <c r="E96" s="54" t="s">
        <v>6</v>
      </c>
      <c r="F96" s="65">
        <v>2</v>
      </c>
      <c r="G96" s="54"/>
    </row>
    <row r="97" spans="2:7" ht="15" customHeight="1" x14ac:dyDescent="0.2">
      <c r="B97" s="54" t="s">
        <v>1137</v>
      </c>
      <c r="C97" s="54" t="s">
        <v>910</v>
      </c>
      <c r="D97" s="54" t="s">
        <v>1136</v>
      </c>
      <c r="E97" s="54" t="s">
        <v>6</v>
      </c>
      <c r="F97" s="65">
        <v>2</v>
      </c>
      <c r="G97" s="54"/>
    </row>
    <row r="98" spans="2:7" ht="15" customHeight="1" x14ac:dyDescent="0.2">
      <c r="B98" s="54" t="s">
        <v>1135</v>
      </c>
      <c r="C98" s="54" t="s">
        <v>910</v>
      </c>
      <c r="D98" s="54" t="s">
        <v>1134</v>
      </c>
      <c r="E98" s="54" t="s">
        <v>6</v>
      </c>
      <c r="F98" s="65">
        <v>2</v>
      </c>
      <c r="G98" s="54"/>
    </row>
    <row r="99" spans="2:7" ht="15" customHeight="1" x14ac:dyDescent="0.2">
      <c r="B99" s="54" t="s">
        <v>1133</v>
      </c>
      <c r="C99" s="54" t="s">
        <v>910</v>
      </c>
      <c r="D99" s="54" t="s">
        <v>1132</v>
      </c>
      <c r="E99" s="54" t="s">
        <v>6</v>
      </c>
      <c r="F99" s="65">
        <v>2</v>
      </c>
      <c r="G99" s="54"/>
    </row>
    <row r="100" spans="2:7" ht="15" customHeight="1" x14ac:dyDescent="0.2">
      <c r="B100" s="54" t="s">
        <v>1131</v>
      </c>
      <c r="C100" s="54" t="s">
        <v>962</v>
      </c>
      <c r="D100" s="54" t="s">
        <v>1130</v>
      </c>
      <c r="E100" s="54" t="s">
        <v>6</v>
      </c>
      <c r="F100" s="65">
        <v>6</v>
      </c>
      <c r="G100" s="54"/>
    </row>
    <row r="101" spans="2:7" ht="15" customHeight="1" x14ac:dyDescent="0.2">
      <c r="B101" s="54" t="s">
        <v>1129</v>
      </c>
      <c r="C101" s="54" t="s">
        <v>919</v>
      </c>
      <c r="D101" s="54" t="s">
        <v>1255</v>
      </c>
      <c r="E101" s="54" t="s">
        <v>6</v>
      </c>
      <c r="F101" s="65">
        <v>56</v>
      </c>
      <c r="G101" s="54"/>
    </row>
    <row r="102" spans="2:7" ht="15" customHeight="1" x14ac:dyDescent="0.2">
      <c r="B102" s="54" t="s">
        <v>1128</v>
      </c>
      <c r="C102" s="54" t="s">
        <v>903</v>
      </c>
      <c r="D102" s="54" t="s">
        <v>1127</v>
      </c>
      <c r="E102" s="54" t="s">
        <v>6</v>
      </c>
      <c r="F102" s="65">
        <v>1</v>
      </c>
      <c r="G102" s="54"/>
    </row>
    <row r="103" spans="2:7" ht="15" customHeight="1" x14ac:dyDescent="0.2">
      <c r="B103" s="54" t="s">
        <v>1126</v>
      </c>
      <c r="C103" s="54" t="s">
        <v>910</v>
      </c>
      <c r="D103" s="54" t="s">
        <v>1125</v>
      </c>
      <c r="E103" s="54" t="s">
        <v>6</v>
      </c>
      <c r="F103" s="65">
        <v>2</v>
      </c>
      <c r="G103" s="54"/>
    </row>
    <row r="104" spans="2:7" ht="15" customHeight="1" x14ac:dyDescent="0.2">
      <c r="B104" s="54" t="s">
        <v>1124</v>
      </c>
      <c r="C104" s="54" t="s">
        <v>910</v>
      </c>
      <c r="D104" s="54" t="s">
        <v>1123</v>
      </c>
      <c r="E104" s="54" t="s">
        <v>6</v>
      </c>
      <c r="F104" s="65">
        <v>2</v>
      </c>
      <c r="G104" s="54"/>
    </row>
    <row r="105" spans="2:7" ht="15" customHeight="1" x14ac:dyDescent="0.2">
      <c r="B105" s="54" t="s">
        <v>1122</v>
      </c>
      <c r="C105" s="54" t="s">
        <v>1121</v>
      </c>
      <c r="D105" s="54" t="s">
        <v>1120</v>
      </c>
      <c r="E105" s="54" t="s">
        <v>6</v>
      </c>
      <c r="F105" s="65">
        <v>5</v>
      </c>
      <c r="G105" s="54"/>
    </row>
    <row r="106" spans="2:7" ht="15" customHeight="1" x14ac:dyDescent="0.2">
      <c r="B106" s="54" t="s">
        <v>1119</v>
      </c>
      <c r="C106" s="54" t="s">
        <v>903</v>
      </c>
      <c r="D106" s="54" t="s">
        <v>1118</v>
      </c>
      <c r="E106" s="54" t="s">
        <v>6</v>
      </c>
      <c r="F106" s="65">
        <v>6</v>
      </c>
      <c r="G106" s="54"/>
    </row>
    <row r="107" spans="2:7" ht="15" customHeight="1" x14ac:dyDescent="0.2">
      <c r="B107" s="54" t="s">
        <v>1117</v>
      </c>
      <c r="C107" s="54" t="s">
        <v>962</v>
      </c>
      <c r="D107" s="54" t="s">
        <v>1116</v>
      </c>
      <c r="E107" s="54" t="s">
        <v>6</v>
      </c>
      <c r="F107" s="65">
        <v>6</v>
      </c>
      <c r="G107" s="54"/>
    </row>
    <row r="108" spans="2:7" ht="15" customHeight="1" x14ac:dyDescent="0.2">
      <c r="B108" s="54" t="s">
        <v>1115</v>
      </c>
      <c r="C108" s="54" t="s">
        <v>910</v>
      </c>
      <c r="D108" s="54" t="s">
        <v>1114</v>
      </c>
      <c r="E108" s="54" t="s">
        <v>6</v>
      </c>
      <c r="F108" s="65">
        <v>6</v>
      </c>
      <c r="G108" s="54"/>
    </row>
    <row r="109" spans="2:7" ht="15" customHeight="1" x14ac:dyDescent="0.2">
      <c r="B109" s="54" t="s">
        <v>1113</v>
      </c>
      <c r="C109" s="54" t="s">
        <v>882</v>
      </c>
      <c r="D109" s="54" t="s">
        <v>808</v>
      </c>
      <c r="E109" s="54" t="s">
        <v>6</v>
      </c>
      <c r="F109" s="65">
        <v>9</v>
      </c>
      <c r="G109" s="54"/>
    </row>
    <row r="110" spans="2:7" ht="15" customHeight="1" x14ac:dyDescent="0.2">
      <c r="B110" s="54" t="s">
        <v>1112</v>
      </c>
      <c r="C110" s="54" t="s">
        <v>962</v>
      </c>
      <c r="D110" s="54" t="s">
        <v>1111</v>
      </c>
      <c r="E110" s="54" t="s">
        <v>6</v>
      </c>
      <c r="F110" s="65">
        <v>4</v>
      </c>
      <c r="G110" s="54"/>
    </row>
    <row r="111" spans="2:7" ht="15" customHeight="1" x14ac:dyDescent="0.2">
      <c r="B111" s="54" t="s">
        <v>465</v>
      </c>
      <c r="C111" s="54" t="s">
        <v>927</v>
      </c>
      <c r="D111" s="54" t="s">
        <v>1110</v>
      </c>
      <c r="E111" s="54" t="s">
        <v>6</v>
      </c>
      <c r="F111" s="65">
        <v>20</v>
      </c>
      <c r="G111" s="54"/>
    </row>
    <row r="112" spans="2:7" ht="15" customHeight="1" x14ac:dyDescent="0.2">
      <c r="B112" s="54">
        <v>3102069150</v>
      </c>
      <c r="C112" s="54" t="s">
        <v>903</v>
      </c>
      <c r="D112" s="54" t="s">
        <v>1109</v>
      </c>
      <c r="E112" s="54" t="s">
        <v>6</v>
      </c>
      <c r="F112" s="65">
        <v>2</v>
      </c>
      <c r="G112" s="54"/>
    </row>
    <row r="113" spans="2:7" ht="15" customHeight="1" x14ac:dyDescent="0.2">
      <c r="B113" s="54" t="s">
        <v>1108</v>
      </c>
      <c r="C113" s="54" t="s">
        <v>910</v>
      </c>
      <c r="D113" s="54" t="s">
        <v>1107</v>
      </c>
      <c r="E113" s="54" t="s">
        <v>6</v>
      </c>
      <c r="F113" s="65">
        <v>1</v>
      </c>
      <c r="G113" s="54"/>
    </row>
    <row r="114" spans="2:7" ht="15" customHeight="1" x14ac:dyDescent="0.2">
      <c r="B114" s="54" t="s">
        <v>1106</v>
      </c>
      <c r="C114" s="54" t="s">
        <v>903</v>
      </c>
      <c r="D114" s="54" t="s">
        <v>1105</v>
      </c>
      <c r="E114" s="54" t="s">
        <v>6</v>
      </c>
      <c r="F114" s="65">
        <v>1</v>
      </c>
      <c r="G114" s="54"/>
    </row>
    <row r="115" spans="2:7" ht="15" customHeight="1" x14ac:dyDescent="0.2">
      <c r="B115" s="54" t="s">
        <v>1104</v>
      </c>
      <c r="C115" s="54" t="s">
        <v>903</v>
      </c>
      <c r="D115" s="54" t="s">
        <v>1103</v>
      </c>
      <c r="E115" s="54" t="s">
        <v>6</v>
      </c>
      <c r="F115" s="65">
        <v>1</v>
      </c>
      <c r="G115" s="54"/>
    </row>
    <row r="116" spans="2:7" ht="15" customHeight="1" x14ac:dyDescent="0.2">
      <c r="B116" s="54" t="s">
        <v>1102</v>
      </c>
      <c r="C116" s="54" t="s">
        <v>910</v>
      </c>
      <c r="D116" s="54" t="s">
        <v>1101</v>
      </c>
      <c r="E116" s="54" t="s">
        <v>6</v>
      </c>
      <c r="F116" s="65">
        <v>1</v>
      </c>
      <c r="G116" s="54"/>
    </row>
    <row r="117" spans="2:7" ht="15" customHeight="1" x14ac:dyDescent="0.2">
      <c r="B117" s="54" t="s">
        <v>1100</v>
      </c>
      <c r="C117" s="54" t="s">
        <v>910</v>
      </c>
      <c r="D117" s="54" t="s">
        <v>1099</v>
      </c>
      <c r="E117" s="54" t="s">
        <v>6</v>
      </c>
      <c r="F117" s="65">
        <v>2</v>
      </c>
      <c r="G117" s="54"/>
    </row>
    <row r="118" spans="2:7" ht="15" customHeight="1" x14ac:dyDescent="0.2">
      <c r="B118" s="54" t="s">
        <v>1098</v>
      </c>
      <c r="C118" s="54" t="s">
        <v>910</v>
      </c>
      <c r="D118" s="54" t="s">
        <v>1097</v>
      </c>
      <c r="E118" s="54" t="s">
        <v>6</v>
      </c>
      <c r="F118" s="65">
        <v>2</v>
      </c>
      <c r="G118" s="54"/>
    </row>
    <row r="119" spans="2:7" ht="15" customHeight="1" x14ac:dyDescent="0.2">
      <c r="B119" s="54" t="s">
        <v>1096</v>
      </c>
      <c r="C119" s="54" t="s">
        <v>903</v>
      </c>
      <c r="D119" s="54" t="s">
        <v>1095</v>
      </c>
      <c r="E119" s="54" t="s">
        <v>6</v>
      </c>
      <c r="F119" s="65">
        <v>2</v>
      </c>
      <c r="G119" s="54"/>
    </row>
    <row r="120" spans="2:7" ht="15" customHeight="1" x14ac:dyDescent="0.2">
      <c r="B120" s="54" t="s">
        <v>1094</v>
      </c>
      <c r="C120" s="54" t="s">
        <v>903</v>
      </c>
      <c r="D120" s="54" t="s">
        <v>1093</v>
      </c>
      <c r="E120" s="54" t="s">
        <v>6</v>
      </c>
      <c r="F120" s="65">
        <v>2</v>
      </c>
      <c r="G120" s="54"/>
    </row>
    <row r="121" spans="2:7" ht="15" customHeight="1" x14ac:dyDescent="0.2">
      <c r="B121" s="54" t="s">
        <v>1092</v>
      </c>
      <c r="C121" s="54" t="s">
        <v>910</v>
      </c>
      <c r="D121" s="54" t="s">
        <v>1091</v>
      </c>
      <c r="E121" s="54" t="s">
        <v>6</v>
      </c>
      <c r="F121" s="65">
        <v>2</v>
      </c>
      <c r="G121" s="54"/>
    </row>
    <row r="122" spans="2:7" ht="15" customHeight="1" x14ac:dyDescent="0.2">
      <c r="B122" s="54" t="s">
        <v>1090</v>
      </c>
      <c r="C122" s="54" t="s">
        <v>903</v>
      </c>
      <c r="D122" s="54" t="s">
        <v>798</v>
      </c>
      <c r="E122" s="54" t="s">
        <v>6</v>
      </c>
      <c r="F122" s="65">
        <v>1</v>
      </c>
      <c r="G122" s="54"/>
    </row>
    <row r="123" spans="2:7" ht="15" customHeight="1" x14ac:dyDescent="0.2">
      <c r="B123" s="54" t="s">
        <v>1089</v>
      </c>
      <c r="C123" s="54" t="s">
        <v>891</v>
      </c>
      <c r="D123" s="54" t="s">
        <v>1088</v>
      </c>
      <c r="E123" s="54" t="s">
        <v>6</v>
      </c>
      <c r="F123" s="65">
        <v>1</v>
      </c>
      <c r="G123" s="54"/>
    </row>
    <row r="124" spans="2:7" ht="15" customHeight="1" x14ac:dyDescent="0.2">
      <c r="B124" s="54" t="s">
        <v>1087</v>
      </c>
      <c r="C124" s="54" t="s">
        <v>962</v>
      </c>
      <c r="D124" s="54" t="s">
        <v>1086</v>
      </c>
      <c r="E124" s="54" t="s">
        <v>6</v>
      </c>
      <c r="F124" s="65">
        <v>6</v>
      </c>
      <c r="G124" s="54"/>
    </row>
    <row r="125" spans="2:7" ht="15" customHeight="1" x14ac:dyDescent="0.2">
      <c r="B125" s="54">
        <v>7300239</v>
      </c>
      <c r="C125" s="54" t="s">
        <v>903</v>
      </c>
      <c r="D125" s="54" t="s">
        <v>1085</v>
      </c>
      <c r="E125" s="54" t="s">
        <v>6</v>
      </c>
      <c r="F125" s="65">
        <v>2</v>
      </c>
      <c r="G125" s="54"/>
    </row>
    <row r="126" spans="2:7" ht="15" customHeight="1" x14ac:dyDescent="0.2">
      <c r="B126" s="54">
        <v>7415648</v>
      </c>
      <c r="C126" s="54" t="s">
        <v>903</v>
      </c>
      <c r="D126" s="54" t="s">
        <v>1084</v>
      </c>
      <c r="E126" s="54" t="s">
        <v>6</v>
      </c>
      <c r="F126" s="65">
        <v>2</v>
      </c>
      <c r="G126" s="54"/>
    </row>
    <row r="127" spans="2:7" ht="15" customHeight="1" x14ac:dyDescent="0.2">
      <c r="B127" s="54" t="s">
        <v>1083</v>
      </c>
      <c r="C127" s="54" t="s">
        <v>882</v>
      </c>
      <c r="D127" s="54" t="s">
        <v>810</v>
      </c>
      <c r="E127" s="54" t="s">
        <v>6</v>
      </c>
      <c r="F127" s="65">
        <v>10</v>
      </c>
      <c r="G127" s="54"/>
    </row>
    <row r="128" spans="2:7" ht="15" customHeight="1" x14ac:dyDescent="0.2">
      <c r="B128" s="54">
        <v>1116015936</v>
      </c>
      <c r="C128" s="54" t="s">
        <v>962</v>
      </c>
      <c r="D128" s="54" t="s">
        <v>1082</v>
      </c>
      <c r="E128" s="54" t="s">
        <v>6</v>
      </c>
      <c r="F128" s="65">
        <v>2</v>
      </c>
      <c r="G128" s="54"/>
    </row>
    <row r="129" spans="2:7" ht="15" customHeight="1" x14ac:dyDescent="0.2">
      <c r="B129" s="54">
        <v>1116015961</v>
      </c>
      <c r="C129" s="54" t="s">
        <v>962</v>
      </c>
      <c r="D129" s="54" t="s">
        <v>1081</v>
      </c>
      <c r="E129" s="54" t="s">
        <v>6</v>
      </c>
      <c r="F129" s="65">
        <v>2</v>
      </c>
      <c r="G129" s="54"/>
    </row>
    <row r="130" spans="2:7" ht="15" customHeight="1" x14ac:dyDescent="0.2">
      <c r="B130" s="54">
        <v>1116016489</v>
      </c>
      <c r="C130" s="54" t="s">
        <v>962</v>
      </c>
      <c r="D130" s="54" t="s">
        <v>1080</v>
      </c>
      <c r="E130" s="54" t="s">
        <v>6</v>
      </c>
      <c r="F130" s="65">
        <v>2</v>
      </c>
      <c r="G130" s="54"/>
    </row>
    <row r="131" spans="2:7" ht="15" customHeight="1" x14ac:dyDescent="0.2">
      <c r="B131" s="54">
        <v>3102008072</v>
      </c>
      <c r="C131" s="54" t="s">
        <v>903</v>
      </c>
      <c r="D131" s="54" t="s">
        <v>794</v>
      </c>
      <c r="E131" s="54" t="s">
        <v>6</v>
      </c>
      <c r="F131" s="65">
        <v>1</v>
      </c>
      <c r="G131" s="54"/>
    </row>
    <row r="132" spans="2:7" ht="15" customHeight="1" x14ac:dyDescent="0.2">
      <c r="B132" s="54" t="s">
        <v>1079</v>
      </c>
      <c r="C132" s="54" t="s">
        <v>875</v>
      </c>
      <c r="D132" s="54" t="s">
        <v>1078</v>
      </c>
      <c r="E132" s="54" t="s">
        <v>6</v>
      </c>
      <c r="F132" s="65">
        <v>2</v>
      </c>
      <c r="G132" s="54"/>
    </row>
    <row r="133" spans="2:7" ht="15" customHeight="1" x14ac:dyDescent="0.2">
      <c r="B133" s="54" t="s">
        <v>1077</v>
      </c>
      <c r="C133" s="54" t="s">
        <v>910</v>
      </c>
      <c r="D133" s="54" t="s">
        <v>1076</v>
      </c>
      <c r="E133" s="54" t="s">
        <v>6</v>
      </c>
      <c r="F133" s="65">
        <v>2</v>
      </c>
      <c r="G133" s="54"/>
    </row>
    <row r="134" spans="2:7" ht="15" customHeight="1" x14ac:dyDescent="0.2">
      <c r="B134" s="54" t="s">
        <v>1075</v>
      </c>
      <c r="C134" s="54" t="s">
        <v>962</v>
      </c>
      <c r="D134" s="54" t="s">
        <v>1074</v>
      </c>
      <c r="E134" s="54" t="s">
        <v>6</v>
      </c>
      <c r="F134" s="65">
        <v>20</v>
      </c>
      <c r="G134" s="54"/>
    </row>
    <row r="135" spans="2:7" ht="15" customHeight="1" x14ac:dyDescent="0.2">
      <c r="B135" s="54" t="s">
        <v>1073</v>
      </c>
      <c r="C135" s="54" t="s">
        <v>903</v>
      </c>
      <c r="D135" s="54" t="s">
        <v>1072</v>
      </c>
      <c r="E135" s="54" t="s">
        <v>6</v>
      </c>
      <c r="F135" s="65">
        <v>3</v>
      </c>
      <c r="G135" s="54"/>
    </row>
    <row r="136" spans="2:7" ht="15" customHeight="1" x14ac:dyDescent="0.2">
      <c r="B136" s="54" t="s">
        <v>1071</v>
      </c>
      <c r="C136" s="54" t="s">
        <v>962</v>
      </c>
      <c r="D136" s="54" t="s">
        <v>961</v>
      </c>
      <c r="E136" s="54" t="s">
        <v>6</v>
      </c>
      <c r="F136" s="65">
        <v>5</v>
      </c>
      <c r="G136" s="54"/>
    </row>
    <row r="137" spans="2:7" ht="15" customHeight="1" x14ac:dyDescent="0.2">
      <c r="B137" s="54" t="s">
        <v>1070</v>
      </c>
      <c r="C137" s="54" t="s">
        <v>962</v>
      </c>
      <c r="D137" s="54" t="s">
        <v>1069</v>
      </c>
      <c r="E137" s="54" t="s">
        <v>6</v>
      </c>
      <c r="F137" s="65">
        <v>1</v>
      </c>
      <c r="G137" s="54"/>
    </row>
    <row r="138" spans="2:7" ht="15" customHeight="1" x14ac:dyDescent="0.2">
      <c r="B138" s="54" t="s">
        <v>1068</v>
      </c>
      <c r="C138" s="54" t="s">
        <v>962</v>
      </c>
      <c r="D138" s="54" t="s">
        <v>1067</v>
      </c>
      <c r="E138" s="54" t="s">
        <v>6</v>
      </c>
      <c r="F138" s="65">
        <v>1</v>
      </c>
      <c r="G138" s="54"/>
    </row>
    <row r="139" spans="2:7" ht="15" customHeight="1" x14ac:dyDescent="0.2">
      <c r="B139" s="54" t="s">
        <v>1066</v>
      </c>
      <c r="C139" s="54" t="s">
        <v>903</v>
      </c>
      <c r="D139" s="54" t="s">
        <v>1065</v>
      </c>
      <c r="E139" s="54" t="s">
        <v>6</v>
      </c>
      <c r="F139" s="65">
        <v>2</v>
      </c>
      <c r="G139" s="54"/>
    </row>
    <row r="140" spans="2:7" ht="15" customHeight="1" x14ac:dyDescent="0.2">
      <c r="B140" s="54" t="s">
        <v>1064</v>
      </c>
      <c r="C140" s="54" t="s">
        <v>910</v>
      </c>
      <c r="D140" s="54" t="s">
        <v>1063</v>
      </c>
      <c r="E140" s="54" t="s">
        <v>6</v>
      </c>
      <c r="F140" s="65">
        <v>2</v>
      </c>
      <c r="G140" s="54"/>
    </row>
    <row r="141" spans="2:7" ht="15" customHeight="1" x14ac:dyDescent="0.2">
      <c r="B141" s="54" t="s">
        <v>1062</v>
      </c>
      <c r="C141" s="54" t="s">
        <v>910</v>
      </c>
      <c r="D141" s="54" t="s">
        <v>1061</v>
      </c>
      <c r="E141" s="54" t="s">
        <v>6</v>
      </c>
      <c r="F141" s="65">
        <v>2</v>
      </c>
      <c r="G141" s="54"/>
    </row>
    <row r="142" spans="2:7" ht="15" customHeight="1" x14ac:dyDescent="0.2">
      <c r="B142" s="54" t="s">
        <v>1060</v>
      </c>
      <c r="C142" s="54" t="s">
        <v>910</v>
      </c>
      <c r="D142" s="54" t="s">
        <v>1059</v>
      </c>
      <c r="E142" s="54" t="s">
        <v>6</v>
      </c>
      <c r="F142" s="65">
        <v>8</v>
      </c>
      <c r="G142" s="54"/>
    </row>
    <row r="143" spans="2:7" ht="15" customHeight="1" x14ac:dyDescent="0.2">
      <c r="B143" s="54" t="s">
        <v>1058</v>
      </c>
      <c r="C143" s="54" t="s">
        <v>903</v>
      </c>
      <c r="D143" s="54" t="s">
        <v>1057</v>
      </c>
      <c r="E143" s="54" t="s">
        <v>6</v>
      </c>
      <c r="F143" s="65">
        <v>1</v>
      </c>
      <c r="G143" s="54"/>
    </row>
    <row r="144" spans="2:7" ht="15" customHeight="1" x14ac:dyDescent="0.2">
      <c r="B144" s="54" t="s">
        <v>1056</v>
      </c>
      <c r="C144" s="54" t="s">
        <v>903</v>
      </c>
      <c r="D144" s="54" t="s">
        <v>1055</v>
      </c>
      <c r="E144" s="54" t="s">
        <v>6</v>
      </c>
      <c r="F144" s="65">
        <v>1</v>
      </c>
      <c r="G144" s="54"/>
    </row>
    <row r="145" spans="2:7" ht="15" customHeight="1" x14ac:dyDescent="0.2">
      <c r="B145" s="54" t="s">
        <v>1054</v>
      </c>
      <c r="C145" s="54" t="s">
        <v>903</v>
      </c>
      <c r="D145" s="54" t="s">
        <v>1053</v>
      </c>
      <c r="E145" s="54" t="s">
        <v>6</v>
      </c>
      <c r="F145" s="65">
        <v>1</v>
      </c>
      <c r="G145" s="54"/>
    </row>
    <row r="146" spans="2:7" ht="15" customHeight="1" x14ac:dyDescent="0.2">
      <c r="B146" s="54" t="s">
        <v>1052</v>
      </c>
      <c r="C146" s="54" t="s">
        <v>903</v>
      </c>
      <c r="D146" s="54" t="s">
        <v>1051</v>
      </c>
      <c r="E146" s="54" t="s">
        <v>6</v>
      </c>
      <c r="F146" s="65">
        <v>1</v>
      </c>
      <c r="G146" s="54"/>
    </row>
    <row r="147" spans="2:7" ht="15" customHeight="1" x14ac:dyDescent="0.2">
      <c r="B147" s="54" t="s">
        <v>1050</v>
      </c>
      <c r="C147" s="54" t="s">
        <v>903</v>
      </c>
      <c r="D147" s="54" t="s">
        <v>1049</v>
      </c>
      <c r="E147" s="54" t="s">
        <v>6</v>
      </c>
      <c r="F147" s="65">
        <v>1</v>
      </c>
      <c r="G147" s="54"/>
    </row>
    <row r="148" spans="2:7" ht="15" customHeight="1" x14ac:dyDescent="0.2">
      <c r="B148" s="54" t="s">
        <v>1048</v>
      </c>
      <c r="C148" s="54" t="s">
        <v>903</v>
      </c>
      <c r="D148" s="54" t="s">
        <v>1047</v>
      </c>
      <c r="E148" s="54" t="s">
        <v>6</v>
      </c>
      <c r="F148" s="65">
        <v>2</v>
      </c>
      <c r="G148" s="54"/>
    </row>
    <row r="149" spans="2:7" ht="15" customHeight="1" x14ac:dyDescent="0.2">
      <c r="B149" s="54" t="s">
        <v>1046</v>
      </c>
      <c r="C149" s="54" t="s">
        <v>962</v>
      </c>
      <c r="D149" s="54" t="s">
        <v>1045</v>
      </c>
      <c r="E149" s="54" t="s">
        <v>6</v>
      </c>
      <c r="F149" s="65">
        <v>4</v>
      </c>
      <c r="G149" s="54"/>
    </row>
    <row r="150" spans="2:7" ht="15" customHeight="1" x14ac:dyDescent="0.2">
      <c r="B150" s="54" t="s">
        <v>1044</v>
      </c>
      <c r="C150" s="54" t="s">
        <v>882</v>
      </c>
      <c r="D150" s="54" t="s">
        <v>1043</v>
      </c>
      <c r="E150" s="54" t="s">
        <v>6</v>
      </c>
      <c r="F150" s="65">
        <v>4</v>
      </c>
      <c r="G150" s="54"/>
    </row>
    <row r="151" spans="2:7" ht="15" customHeight="1" x14ac:dyDescent="0.2">
      <c r="B151" s="54" t="s">
        <v>1042</v>
      </c>
      <c r="C151" s="54" t="s">
        <v>910</v>
      </c>
      <c r="D151" s="54" t="s">
        <v>1041</v>
      </c>
      <c r="E151" s="54" t="s">
        <v>839</v>
      </c>
      <c r="F151" s="65">
        <v>10</v>
      </c>
      <c r="G151" s="54"/>
    </row>
    <row r="152" spans="2:7" ht="15" customHeight="1" x14ac:dyDescent="0.2">
      <c r="B152" s="54" t="s">
        <v>1040</v>
      </c>
      <c r="C152" s="54" t="s">
        <v>910</v>
      </c>
      <c r="D152" s="54" t="s">
        <v>1039</v>
      </c>
      <c r="E152" s="54" t="s">
        <v>6</v>
      </c>
      <c r="F152" s="65">
        <v>1</v>
      </c>
      <c r="G152" s="54"/>
    </row>
    <row r="153" spans="2:7" ht="15" customHeight="1" x14ac:dyDescent="0.2">
      <c r="B153" s="54" t="s">
        <v>1038</v>
      </c>
      <c r="C153" s="54" t="s">
        <v>879</v>
      </c>
      <c r="D153" s="54" t="s">
        <v>1037</v>
      </c>
      <c r="E153" s="54" t="s">
        <v>6</v>
      </c>
      <c r="F153" s="65">
        <v>12</v>
      </c>
      <c r="G153" s="54"/>
    </row>
    <row r="154" spans="2:7" ht="15" customHeight="1" x14ac:dyDescent="0.2">
      <c r="B154" s="54" t="s">
        <v>1036</v>
      </c>
      <c r="C154" s="54" t="s">
        <v>910</v>
      </c>
      <c r="D154" s="54" t="s">
        <v>1035</v>
      </c>
      <c r="E154" s="54" t="s">
        <v>6</v>
      </c>
      <c r="F154" s="65">
        <v>1</v>
      </c>
      <c r="G154" s="54"/>
    </row>
    <row r="155" spans="2:7" ht="15" customHeight="1" x14ac:dyDescent="0.2">
      <c r="B155" s="54" t="s">
        <v>1034</v>
      </c>
      <c r="C155" s="54" t="s">
        <v>879</v>
      </c>
      <c r="D155" s="54" t="s">
        <v>989</v>
      </c>
      <c r="E155" s="54" t="s">
        <v>6</v>
      </c>
      <c r="F155" s="65">
        <v>6</v>
      </c>
      <c r="G155" s="54"/>
    </row>
    <row r="156" spans="2:7" ht="15" customHeight="1" x14ac:dyDescent="0.2">
      <c r="B156" s="54" t="s">
        <v>1033</v>
      </c>
      <c r="C156" s="54" t="s">
        <v>875</v>
      </c>
      <c r="D156" s="54" t="s">
        <v>1032</v>
      </c>
      <c r="E156" s="54" t="s">
        <v>6</v>
      </c>
      <c r="F156" s="65">
        <v>4</v>
      </c>
      <c r="G156" s="54"/>
    </row>
    <row r="157" spans="2:7" ht="15" customHeight="1" x14ac:dyDescent="0.2">
      <c r="B157" s="54" t="s">
        <v>1031</v>
      </c>
      <c r="C157" s="54" t="s">
        <v>875</v>
      </c>
      <c r="D157" s="54" t="s">
        <v>1030</v>
      </c>
      <c r="E157" s="54" t="s">
        <v>6</v>
      </c>
      <c r="F157" s="65">
        <v>4</v>
      </c>
      <c r="G157" s="54"/>
    </row>
    <row r="158" spans="2:7" ht="15" customHeight="1" x14ac:dyDescent="0.2">
      <c r="B158" s="54" t="s">
        <v>1029</v>
      </c>
      <c r="C158" s="54" t="s">
        <v>879</v>
      </c>
      <c r="D158" s="54" t="s">
        <v>1028</v>
      </c>
      <c r="E158" s="54" t="s">
        <v>6</v>
      </c>
      <c r="F158" s="65">
        <v>4</v>
      </c>
      <c r="G158" s="54"/>
    </row>
    <row r="159" spans="2:7" ht="15" customHeight="1" x14ac:dyDescent="0.2">
      <c r="B159" s="54" t="s">
        <v>1027</v>
      </c>
      <c r="C159" s="54" t="s">
        <v>875</v>
      </c>
      <c r="D159" s="54" t="s">
        <v>1026</v>
      </c>
      <c r="E159" s="54" t="s">
        <v>6</v>
      </c>
      <c r="F159" s="65">
        <v>4</v>
      </c>
      <c r="G159" s="54"/>
    </row>
    <row r="160" spans="2:7" ht="15" customHeight="1" x14ac:dyDescent="0.2">
      <c r="B160" s="54" t="s">
        <v>1025</v>
      </c>
      <c r="C160" s="54" t="s">
        <v>879</v>
      </c>
      <c r="D160" s="54" t="s">
        <v>1024</v>
      </c>
      <c r="E160" s="54" t="s">
        <v>6</v>
      </c>
      <c r="F160" s="65">
        <v>4</v>
      </c>
      <c r="G160" s="54"/>
    </row>
    <row r="161" spans="2:7" ht="15" customHeight="1" x14ac:dyDescent="0.2">
      <c r="B161" s="54" t="s">
        <v>1023</v>
      </c>
      <c r="C161" s="54" t="s">
        <v>879</v>
      </c>
      <c r="D161" s="54" t="s">
        <v>1022</v>
      </c>
      <c r="E161" s="54" t="s">
        <v>6</v>
      </c>
      <c r="F161" s="65">
        <v>4</v>
      </c>
      <c r="G161" s="54"/>
    </row>
    <row r="162" spans="2:7" ht="15" customHeight="1" x14ac:dyDescent="0.2">
      <c r="B162" s="54" t="s">
        <v>1021</v>
      </c>
      <c r="C162" s="54" t="s">
        <v>879</v>
      </c>
      <c r="D162" s="54" t="s">
        <v>1020</v>
      </c>
      <c r="E162" s="54" t="s">
        <v>6</v>
      </c>
      <c r="F162" s="65">
        <v>4</v>
      </c>
      <c r="G162" s="54"/>
    </row>
    <row r="163" spans="2:7" ht="15" customHeight="1" x14ac:dyDescent="0.2">
      <c r="B163" s="54" t="s">
        <v>1019</v>
      </c>
      <c r="C163" s="54" t="s">
        <v>875</v>
      </c>
      <c r="D163" s="54" t="s">
        <v>1018</v>
      </c>
      <c r="E163" s="54" t="s">
        <v>6</v>
      </c>
      <c r="F163" s="65">
        <v>2</v>
      </c>
      <c r="G163" s="54"/>
    </row>
    <row r="164" spans="2:7" ht="15" customHeight="1" x14ac:dyDescent="0.2">
      <c r="B164" s="54" t="s">
        <v>1017</v>
      </c>
      <c r="C164" s="54" t="s">
        <v>879</v>
      </c>
      <c r="D164" s="54" t="s">
        <v>834</v>
      </c>
      <c r="E164" s="54" t="s">
        <v>6</v>
      </c>
      <c r="F164" s="65">
        <v>1</v>
      </c>
      <c r="G164" s="54"/>
    </row>
    <row r="165" spans="2:7" ht="15" customHeight="1" x14ac:dyDescent="0.2">
      <c r="B165" s="54" t="s">
        <v>1016</v>
      </c>
      <c r="C165" s="54" t="s">
        <v>879</v>
      </c>
      <c r="D165" s="54" t="s">
        <v>1015</v>
      </c>
      <c r="E165" s="54" t="s">
        <v>6</v>
      </c>
      <c r="F165" s="65">
        <v>1</v>
      </c>
      <c r="G165" s="54"/>
    </row>
    <row r="166" spans="2:7" ht="15" customHeight="1" x14ac:dyDescent="0.2">
      <c r="B166" s="54" t="s">
        <v>1014</v>
      </c>
      <c r="C166" s="54" t="s">
        <v>879</v>
      </c>
      <c r="D166" s="54" t="s">
        <v>1013</v>
      </c>
      <c r="E166" s="54" t="s">
        <v>6</v>
      </c>
      <c r="F166" s="65">
        <v>1</v>
      </c>
      <c r="G166" s="54"/>
    </row>
    <row r="167" spans="2:7" ht="15" customHeight="1" x14ac:dyDescent="0.2">
      <c r="B167" s="54" t="s">
        <v>1012</v>
      </c>
      <c r="C167" s="54" t="s">
        <v>910</v>
      </c>
      <c r="D167" s="54" t="s">
        <v>1011</v>
      </c>
      <c r="E167" s="54" t="s">
        <v>6</v>
      </c>
      <c r="F167" s="65">
        <v>2</v>
      </c>
      <c r="G167" s="54"/>
    </row>
    <row r="168" spans="2:7" ht="15" customHeight="1" x14ac:dyDescent="0.2">
      <c r="B168" s="54" t="s">
        <v>1010</v>
      </c>
      <c r="C168" s="54" t="s">
        <v>903</v>
      </c>
      <c r="D168" s="54" t="s">
        <v>1009</v>
      </c>
      <c r="E168" s="54" t="s">
        <v>6</v>
      </c>
      <c r="F168" s="65">
        <v>1</v>
      </c>
      <c r="G168" s="54"/>
    </row>
    <row r="169" spans="2:7" ht="15" customHeight="1" x14ac:dyDescent="0.2">
      <c r="B169" s="54" t="s">
        <v>1008</v>
      </c>
      <c r="C169" s="54" t="s">
        <v>879</v>
      </c>
      <c r="D169" s="54" t="s">
        <v>1007</v>
      </c>
      <c r="E169" s="54" t="s">
        <v>6</v>
      </c>
      <c r="F169" s="65">
        <v>1</v>
      </c>
      <c r="G169" s="54"/>
    </row>
    <row r="170" spans="2:7" ht="15" customHeight="1" x14ac:dyDescent="0.2">
      <c r="B170" s="54" t="s">
        <v>1006</v>
      </c>
      <c r="C170" s="54" t="s">
        <v>910</v>
      </c>
      <c r="D170" s="54" t="s">
        <v>1005</v>
      </c>
      <c r="E170" s="54" t="s">
        <v>6</v>
      </c>
      <c r="F170" s="65">
        <v>10</v>
      </c>
      <c r="G170" s="54"/>
    </row>
    <row r="171" spans="2:7" ht="15" customHeight="1" x14ac:dyDescent="0.2">
      <c r="B171" s="54" t="s">
        <v>1004</v>
      </c>
      <c r="C171" s="54" t="s">
        <v>879</v>
      </c>
      <c r="D171" s="54" t="s">
        <v>1003</v>
      </c>
      <c r="E171" s="54" t="s">
        <v>6</v>
      </c>
      <c r="F171" s="65">
        <v>1</v>
      </c>
      <c r="G171" s="54"/>
    </row>
    <row r="172" spans="2:7" ht="15" customHeight="1" x14ac:dyDescent="0.2">
      <c r="B172" s="54" t="s">
        <v>1002</v>
      </c>
      <c r="C172" s="54" t="s">
        <v>891</v>
      </c>
      <c r="D172" s="54" t="s">
        <v>1001</v>
      </c>
      <c r="E172" s="54" t="s">
        <v>6</v>
      </c>
      <c r="F172" s="65">
        <v>1</v>
      </c>
      <c r="G172" s="54"/>
    </row>
    <row r="173" spans="2:7" ht="15" customHeight="1" x14ac:dyDescent="0.2">
      <c r="B173" s="54" t="s">
        <v>1000</v>
      </c>
      <c r="C173" s="54" t="s">
        <v>910</v>
      </c>
      <c r="D173" s="54" t="s">
        <v>999</v>
      </c>
      <c r="E173" s="54" t="s">
        <v>6</v>
      </c>
      <c r="F173" s="65">
        <v>10</v>
      </c>
      <c r="G173" s="54"/>
    </row>
    <row r="174" spans="2:7" ht="15" customHeight="1" x14ac:dyDescent="0.2">
      <c r="B174" s="54" t="s">
        <v>998</v>
      </c>
      <c r="C174" s="54" t="s">
        <v>891</v>
      </c>
      <c r="D174" s="54" t="s">
        <v>997</v>
      </c>
      <c r="E174" s="54" t="s">
        <v>6</v>
      </c>
      <c r="F174" s="65">
        <v>10</v>
      </c>
      <c r="G174" s="54"/>
    </row>
    <row r="175" spans="2:7" ht="15" customHeight="1" x14ac:dyDescent="0.2">
      <c r="B175" s="54" t="s">
        <v>996</v>
      </c>
      <c r="C175" s="54" t="s">
        <v>879</v>
      </c>
      <c r="D175" s="54" t="s">
        <v>995</v>
      </c>
      <c r="E175" s="54" t="s">
        <v>6</v>
      </c>
      <c r="F175" s="65">
        <v>1</v>
      </c>
      <c r="G175" s="54"/>
    </row>
    <row r="176" spans="2:7" ht="15" customHeight="1" x14ac:dyDescent="0.2">
      <c r="B176" s="54" t="s">
        <v>994</v>
      </c>
      <c r="C176" s="54" t="s">
        <v>879</v>
      </c>
      <c r="D176" s="54" t="s">
        <v>993</v>
      </c>
      <c r="E176" s="54" t="s">
        <v>6</v>
      </c>
      <c r="F176" s="65">
        <v>1</v>
      </c>
      <c r="G176" s="54"/>
    </row>
    <row r="177" spans="2:7" ht="15" customHeight="1" x14ac:dyDescent="0.2">
      <c r="B177" s="54" t="s">
        <v>992</v>
      </c>
      <c r="C177" s="54" t="s">
        <v>879</v>
      </c>
      <c r="D177" s="54" t="s">
        <v>991</v>
      </c>
      <c r="E177" s="54" t="s">
        <v>6</v>
      </c>
      <c r="F177" s="65">
        <v>2</v>
      </c>
      <c r="G177" s="54"/>
    </row>
    <row r="178" spans="2:7" ht="15" customHeight="1" x14ac:dyDescent="0.2">
      <c r="B178" s="54" t="s">
        <v>990</v>
      </c>
      <c r="C178" s="54" t="s">
        <v>879</v>
      </c>
      <c r="D178" s="54" t="s">
        <v>989</v>
      </c>
      <c r="E178" s="54" t="s">
        <v>6</v>
      </c>
      <c r="F178" s="65">
        <v>6</v>
      </c>
      <c r="G178" s="54"/>
    </row>
    <row r="179" spans="2:7" ht="15" customHeight="1" x14ac:dyDescent="0.2">
      <c r="B179" s="54" t="s">
        <v>988</v>
      </c>
      <c r="C179" s="54" t="s">
        <v>962</v>
      </c>
      <c r="D179" s="54" t="s">
        <v>987</v>
      </c>
      <c r="E179" s="54" t="s">
        <v>6</v>
      </c>
      <c r="F179" s="65">
        <v>2</v>
      </c>
      <c r="G179" s="54"/>
    </row>
    <row r="180" spans="2:7" ht="15" customHeight="1" x14ac:dyDescent="0.2">
      <c r="B180" s="54" t="s">
        <v>986</v>
      </c>
      <c r="C180" s="54" t="s">
        <v>891</v>
      </c>
      <c r="D180" s="54" t="s">
        <v>985</v>
      </c>
      <c r="E180" s="54" t="s">
        <v>6</v>
      </c>
      <c r="F180" s="65">
        <v>70</v>
      </c>
      <c r="G180" s="54"/>
    </row>
    <row r="181" spans="2:7" ht="15" customHeight="1" x14ac:dyDescent="0.2">
      <c r="B181" s="54" t="s">
        <v>984</v>
      </c>
      <c r="C181" s="54" t="s">
        <v>879</v>
      </c>
      <c r="D181" s="54" t="s">
        <v>983</v>
      </c>
      <c r="E181" s="54" t="s">
        <v>6</v>
      </c>
      <c r="F181" s="65">
        <v>1</v>
      </c>
      <c r="G181" s="54"/>
    </row>
    <row r="182" spans="2:7" ht="15" customHeight="1" x14ac:dyDescent="0.2">
      <c r="B182" s="54" t="s">
        <v>982</v>
      </c>
      <c r="C182" s="54" t="s">
        <v>879</v>
      </c>
      <c r="D182" s="54" t="s">
        <v>981</v>
      </c>
      <c r="E182" s="54" t="s">
        <v>6</v>
      </c>
      <c r="F182" s="65">
        <v>70</v>
      </c>
      <c r="G182" s="54"/>
    </row>
    <row r="183" spans="2:7" ht="15" customHeight="1" x14ac:dyDescent="0.2">
      <c r="B183" s="54" t="s">
        <v>471</v>
      </c>
      <c r="C183" s="54" t="s">
        <v>875</v>
      </c>
      <c r="D183" s="54" t="s">
        <v>1258</v>
      </c>
      <c r="E183" s="54" t="s">
        <v>6</v>
      </c>
      <c r="F183" s="65">
        <v>11</v>
      </c>
      <c r="G183" s="54"/>
    </row>
    <row r="184" spans="2:7" ht="15" customHeight="1" x14ac:dyDescent="0.2">
      <c r="B184" s="54" t="s">
        <v>470</v>
      </c>
      <c r="C184" s="54" t="s">
        <v>919</v>
      </c>
      <c r="D184" s="54" t="s">
        <v>848</v>
      </c>
      <c r="E184" s="54" t="s">
        <v>6</v>
      </c>
      <c r="F184" s="65">
        <v>15</v>
      </c>
      <c r="G184" s="54" t="s">
        <v>980</v>
      </c>
    </row>
    <row r="185" spans="2:7" ht="15" customHeight="1" x14ac:dyDescent="0.2">
      <c r="B185" s="54" t="s">
        <v>979</v>
      </c>
      <c r="C185" s="54" t="s">
        <v>927</v>
      </c>
      <c r="D185" s="54" t="s">
        <v>978</v>
      </c>
      <c r="E185" s="54" t="s">
        <v>6</v>
      </c>
      <c r="F185" s="65">
        <v>1</v>
      </c>
      <c r="G185" s="54"/>
    </row>
    <row r="186" spans="2:7" ht="15" customHeight="1" x14ac:dyDescent="0.2">
      <c r="B186" s="54" t="s">
        <v>977</v>
      </c>
      <c r="C186" s="54" t="s">
        <v>910</v>
      </c>
      <c r="D186" s="54" t="s">
        <v>976</v>
      </c>
      <c r="E186" s="54" t="s">
        <v>6</v>
      </c>
      <c r="F186" s="65">
        <v>1</v>
      </c>
      <c r="G186" s="54"/>
    </row>
    <row r="187" spans="2:7" ht="15" customHeight="1" x14ac:dyDescent="0.2">
      <c r="B187" s="54" t="s">
        <v>975</v>
      </c>
      <c r="C187" s="54" t="s">
        <v>879</v>
      </c>
      <c r="D187" s="54" t="s">
        <v>974</v>
      </c>
      <c r="E187" s="54" t="s">
        <v>6</v>
      </c>
      <c r="F187" s="65">
        <v>2</v>
      </c>
      <c r="G187" s="54"/>
    </row>
    <row r="188" spans="2:7" ht="15" customHeight="1" x14ac:dyDescent="0.2">
      <c r="B188" s="54" t="s">
        <v>472</v>
      </c>
      <c r="C188" s="54" t="s">
        <v>875</v>
      </c>
      <c r="D188" s="54" t="s">
        <v>1259</v>
      </c>
      <c r="E188" s="54" t="s">
        <v>6</v>
      </c>
      <c r="F188" s="65">
        <v>16</v>
      </c>
      <c r="G188" s="54"/>
    </row>
    <row r="189" spans="2:7" ht="15" customHeight="1" x14ac:dyDescent="0.2">
      <c r="B189" s="54" t="s">
        <v>973</v>
      </c>
      <c r="C189" s="54" t="s">
        <v>879</v>
      </c>
      <c r="D189" s="54" t="s">
        <v>972</v>
      </c>
      <c r="E189" s="54" t="s">
        <v>6</v>
      </c>
      <c r="F189" s="65">
        <v>1</v>
      </c>
      <c r="G189" s="54"/>
    </row>
    <row r="190" spans="2:7" ht="15" customHeight="1" x14ac:dyDescent="0.2">
      <c r="B190" s="54" t="s">
        <v>971</v>
      </c>
      <c r="C190" s="54" t="s">
        <v>879</v>
      </c>
      <c r="D190" s="54" t="s">
        <v>970</v>
      </c>
      <c r="E190" s="54" t="s">
        <v>6</v>
      </c>
      <c r="F190" s="65">
        <v>2</v>
      </c>
      <c r="G190" s="54"/>
    </row>
    <row r="191" spans="2:7" ht="15" customHeight="1" x14ac:dyDescent="0.2">
      <c r="B191" s="54" t="s">
        <v>969</v>
      </c>
      <c r="C191" s="54" t="s">
        <v>879</v>
      </c>
      <c r="D191" s="54" t="s">
        <v>968</v>
      </c>
      <c r="E191" s="54" t="s">
        <v>6</v>
      </c>
      <c r="F191" s="65">
        <v>1</v>
      </c>
      <c r="G191" s="54"/>
    </row>
    <row r="192" spans="2:7" ht="15" customHeight="1" x14ac:dyDescent="0.2">
      <c r="B192" s="54">
        <v>29558328</v>
      </c>
      <c r="C192" s="54" t="s">
        <v>903</v>
      </c>
      <c r="D192" s="54" t="s">
        <v>1254</v>
      </c>
      <c r="E192" s="54" t="s">
        <v>6</v>
      </c>
      <c r="F192" s="65">
        <v>11</v>
      </c>
      <c r="G192" s="54"/>
    </row>
    <row r="193" spans="2:7" ht="15" customHeight="1" x14ac:dyDescent="0.2">
      <c r="B193" s="54" t="s">
        <v>967</v>
      </c>
      <c r="C193" s="54" t="s">
        <v>879</v>
      </c>
      <c r="D193" s="54" t="s">
        <v>966</v>
      </c>
      <c r="E193" s="54" t="s">
        <v>6</v>
      </c>
      <c r="F193" s="65">
        <v>1</v>
      </c>
      <c r="G193" s="54"/>
    </row>
    <row r="194" spans="2:7" ht="15" customHeight="1" x14ac:dyDescent="0.2">
      <c r="B194" s="54" t="s">
        <v>965</v>
      </c>
      <c r="C194" s="54" t="s">
        <v>879</v>
      </c>
      <c r="D194" s="54" t="s">
        <v>964</v>
      </c>
      <c r="E194" s="54" t="s">
        <v>6</v>
      </c>
      <c r="F194" s="65">
        <v>1</v>
      </c>
      <c r="G194" s="54"/>
    </row>
    <row r="195" spans="2:7" ht="15" customHeight="1" x14ac:dyDescent="0.2">
      <c r="B195" s="54" t="s">
        <v>963</v>
      </c>
      <c r="C195" s="54" t="s">
        <v>962</v>
      </c>
      <c r="D195" s="54" t="s">
        <v>961</v>
      </c>
      <c r="E195" s="54" t="s">
        <v>6</v>
      </c>
      <c r="F195" s="65">
        <v>1</v>
      </c>
      <c r="G195" s="54"/>
    </row>
    <row r="196" spans="2:7" ht="15" customHeight="1" x14ac:dyDescent="0.2">
      <c r="B196" s="54" t="s">
        <v>960</v>
      </c>
      <c r="C196" s="54" t="s">
        <v>875</v>
      </c>
      <c r="D196" s="54" t="s">
        <v>959</v>
      </c>
      <c r="E196" s="54" t="s">
        <v>6</v>
      </c>
      <c r="F196" s="65">
        <v>2</v>
      </c>
      <c r="G196" s="54"/>
    </row>
    <row r="197" spans="2:7" ht="15" customHeight="1" x14ac:dyDescent="0.2">
      <c r="B197" s="54" t="s">
        <v>958</v>
      </c>
      <c r="C197" s="54" t="s">
        <v>879</v>
      </c>
      <c r="D197" s="54" t="s">
        <v>957</v>
      </c>
      <c r="E197" s="54" t="s">
        <v>6</v>
      </c>
      <c r="F197" s="65">
        <v>2</v>
      </c>
      <c r="G197" s="54"/>
    </row>
    <row r="198" spans="2:7" ht="15" customHeight="1" x14ac:dyDescent="0.2">
      <c r="B198" s="54" t="s">
        <v>956</v>
      </c>
      <c r="C198" s="54" t="s">
        <v>891</v>
      </c>
      <c r="D198" s="54" t="s">
        <v>955</v>
      </c>
      <c r="E198" s="54" t="s">
        <v>6</v>
      </c>
      <c r="F198" s="65">
        <v>2</v>
      </c>
      <c r="G198" s="54"/>
    </row>
    <row r="199" spans="2:7" ht="15" customHeight="1" x14ac:dyDescent="0.2">
      <c r="B199" s="54" t="s">
        <v>954</v>
      </c>
      <c r="C199" s="54" t="s">
        <v>879</v>
      </c>
      <c r="D199" s="54" t="s">
        <v>847</v>
      </c>
      <c r="E199" s="54" t="s">
        <v>6</v>
      </c>
      <c r="F199" s="65">
        <v>1</v>
      </c>
      <c r="G199" s="54"/>
    </row>
    <row r="200" spans="2:7" ht="15" customHeight="1" x14ac:dyDescent="0.2">
      <c r="B200" s="54" t="s">
        <v>953</v>
      </c>
      <c r="C200" s="54" t="s">
        <v>879</v>
      </c>
      <c r="D200" s="54" t="s">
        <v>845</v>
      </c>
      <c r="E200" s="54" t="s">
        <v>6</v>
      </c>
      <c r="F200" s="65">
        <v>1</v>
      </c>
      <c r="G200" s="54"/>
    </row>
    <row r="201" spans="2:7" ht="15" customHeight="1" x14ac:dyDescent="0.2">
      <c r="B201" s="54" t="s">
        <v>952</v>
      </c>
      <c r="C201" s="54" t="s">
        <v>879</v>
      </c>
      <c r="D201" s="54" t="s">
        <v>951</v>
      </c>
      <c r="E201" s="54" t="s">
        <v>6</v>
      </c>
      <c r="F201" s="65">
        <v>1</v>
      </c>
      <c r="G201" s="54"/>
    </row>
    <row r="202" spans="2:7" ht="15" customHeight="1" x14ac:dyDescent="0.2">
      <c r="B202" s="54" t="s">
        <v>950</v>
      </c>
      <c r="C202" s="54" t="s">
        <v>879</v>
      </c>
      <c r="D202" s="54" t="s">
        <v>846</v>
      </c>
      <c r="E202" s="54" t="s">
        <v>6</v>
      </c>
      <c r="F202" s="65">
        <v>1</v>
      </c>
      <c r="G202" s="54"/>
    </row>
    <row r="203" spans="2:7" ht="15" customHeight="1" x14ac:dyDescent="0.2">
      <c r="B203" s="54" t="s">
        <v>949</v>
      </c>
      <c r="C203" s="54" t="s">
        <v>903</v>
      </c>
      <c r="D203" s="54" t="s">
        <v>948</v>
      </c>
      <c r="E203" s="54" t="s">
        <v>6</v>
      </c>
      <c r="F203" s="65">
        <v>5</v>
      </c>
      <c r="G203" s="54"/>
    </row>
    <row r="204" spans="2:7" ht="15" customHeight="1" x14ac:dyDescent="0.2">
      <c r="B204" s="54" t="s">
        <v>947</v>
      </c>
      <c r="C204" s="54" t="s">
        <v>903</v>
      </c>
      <c r="D204" s="54" t="s">
        <v>946</v>
      </c>
      <c r="E204" s="54" t="s">
        <v>6</v>
      </c>
      <c r="F204" s="65">
        <v>5</v>
      </c>
      <c r="G204" s="54"/>
    </row>
    <row r="205" spans="2:7" ht="15" customHeight="1" x14ac:dyDescent="0.2">
      <c r="B205" s="54" t="s">
        <v>945</v>
      </c>
      <c r="C205" s="54" t="s">
        <v>903</v>
      </c>
      <c r="D205" s="54" t="s">
        <v>944</v>
      </c>
      <c r="E205" s="54" t="s">
        <v>6</v>
      </c>
      <c r="F205" s="65">
        <v>3</v>
      </c>
      <c r="G205" s="54"/>
    </row>
    <row r="206" spans="2:7" ht="15" customHeight="1" x14ac:dyDescent="0.2">
      <c r="B206" s="54">
        <v>3102008098</v>
      </c>
      <c r="C206" s="54" t="s">
        <v>891</v>
      </c>
      <c r="D206" s="54" t="s">
        <v>943</v>
      </c>
      <c r="E206" s="54" t="s">
        <v>6</v>
      </c>
      <c r="F206" s="65">
        <v>2</v>
      </c>
      <c r="G206" s="54"/>
    </row>
    <row r="207" spans="2:7" ht="15" customHeight="1" x14ac:dyDescent="0.2">
      <c r="B207" s="54" t="s">
        <v>942</v>
      </c>
      <c r="C207" s="54" t="s">
        <v>882</v>
      </c>
      <c r="D207" s="54" t="s">
        <v>941</v>
      </c>
      <c r="E207" s="54" t="s">
        <v>6</v>
      </c>
      <c r="F207" s="65">
        <v>2</v>
      </c>
      <c r="G207" s="54"/>
    </row>
    <row r="208" spans="2:7" ht="15" customHeight="1" x14ac:dyDescent="0.2">
      <c r="B208" s="54" t="s">
        <v>940</v>
      </c>
      <c r="C208" s="54" t="s">
        <v>879</v>
      </c>
      <c r="D208" s="54" t="s">
        <v>939</v>
      </c>
      <c r="E208" s="54" t="s">
        <v>6</v>
      </c>
      <c r="F208" s="65">
        <v>1</v>
      </c>
      <c r="G208" s="54"/>
    </row>
    <row r="209" spans="2:7" ht="15" customHeight="1" x14ac:dyDescent="0.2">
      <c r="B209" s="54" t="s">
        <v>938</v>
      </c>
      <c r="C209" s="54" t="s">
        <v>891</v>
      </c>
      <c r="D209" s="54" t="s">
        <v>937</v>
      </c>
      <c r="E209" s="54" t="s">
        <v>6</v>
      </c>
      <c r="F209" s="65">
        <v>11</v>
      </c>
      <c r="G209" s="54"/>
    </row>
    <row r="210" spans="2:7" ht="15" customHeight="1" x14ac:dyDescent="0.2">
      <c r="B210" s="54" t="s">
        <v>936</v>
      </c>
      <c r="C210" s="54" t="s">
        <v>879</v>
      </c>
      <c r="D210" s="54" t="s">
        <v>935</v>
      </c>
      <c r="E210" s="54" t="s">
        <v>6</v>
      </c>
      <c r="F210" s="65">
        <v>1</v>
      </c>
      <c r="G210" s="54"/>
    </row>
    <row r="211" spans="2:7" ht="15" customHeight="1" x14ac:dyDescent="0.2">
      <c r="B211" s="54" t="s">
        <v>934</v>
      </c>
      <c r="C211" s="54" t="s">
        <v>903</v>
      </c>
      <c r="D211" s="54" t="s">
        <v>933</v>
      </c>
      <c r="E211" s="54" t="s">
        <v>6</v>
      </c>
      <c r="F211" s="65">
        <v>2</v>
      </c>
      <c r="G211" s="54"/>
    </row>
    <row r="212" spans="2:7" ht="15" customHeight="1" x14ac:dyDescent="0.2">
      <c r="B212" s="54" t="s">
        <v>932</v>
      </c>
      <c r="C212" s="54" t="s">
        <v>910</v>
      </c>
      <c r="D212" s="54" t="s">
        <v>931</v>
      </c>
      <c r="E212" s="54" t="s">
        <v>6</v>
      </c>
      <c r="F212" s="65">
        <v>4</v>
      </c>
      <c r="G212" s="54"/>
    </row>
    <row r="213" spans="2:7" ht="15" customHeight="1" x14ac:dyDescent="0.2">
      <c r="B213" s="54" t="s">
        <v>930</v>
      </c>
      <c r="C213" s="54" t="s">
        <v>879</v>
      </c>
      <c r="D213" s="54" t="s">
        <v>929</v>
      </c>
      <c r="E213" s="54" t="s">
        <v>6</v>
      </c>
      <c r="F213" s="65">
        <v>4</v>
      </c>
      <c r="G213" s="54"/>
    </row>
    <row r="214" spans="2:7" ht="15" customHeight="1" x14ac:dyDescent="0.2">
      <c r="B214" s="54" t="s">
        <v>928</v>
      </c>
      <c r="C214" s="54" t="s">
        <v>927</v>
      </c>
      <c r="D214" s="54" t="s">
        <v>926</v>
      </c>
      <c r="E214" s="54" t="s">
        <v>6</v>
      </c>
      <c r="F214" s="65">
        <v>2</v>
      </c>
      <c r="G214" s="54"/>
    </row>
    <row r="215" spans="2:7" ht="15" customHeight="1" x14ac:dyDescent="0.2">
      <c r="B215" s="54" t="s">
        <v>925</v>
      </c>
      <c r="C215" s="54" t="s">
        <v>185</v>
      </c>
      <c r="D215" s="54" t="s">
        <v>924</v>
      </c>
      <c r="E215" s="54" t="s">
        <v>6</v>
      </c>
      <c r="F215" s="65">
        <v>2</v>
      </c>
      <c r="G215" s="54" t="s">
        <v>923</v>
      </c>
    </row>
    <row r="216" spans="2:7" ht="15" customHeight="1" x14ac:dyDescent="0.2">
      <c r="B216" s="54" t="s">
        <v>922</v>
      </c>
      <c r="C216" s="54" t="s">
        <v>919</v>
      </c>
      <c r="D216" s="54" t="s">
        <v>921</v>
      </c>
      <c r="E216" s="54" t="s">
        <v>6</v>
      </c>
      <c r="F216" s="65">
        <v>1</v>
      </c>
      <c r="G216" s="54"/>
    </row>
    <row r="217" spans="2:7" ht="15" customHeight="1" x14ac:dyDescent="0.2">
      <c r="B217" s="54" t="s">
        <v>920</v>
      </c>
      <c r="C217" s="54" t="s">
        <v>919</v>
      </c>
      <c r="D217" s="54" t="s">
        <v>918</v>
      </c>
      <c r="E217" s="54" t="s">
        <v>6</v>
      </c>
      <c r="F217" s="65">
        <v>1</v>
      </c>
      <c r="G217" s="54"/>
    </row>
    <row r="218" spans="2:7" ht="15" customHeight="1" x14ac:dyDescent="0.2">
      <c r="B218" s="54" t="s">
        <v>917</v>
      </c>
      <c r="C218" s="54" t="s">
        <v>910</v>
      </c>
      <c r="D218" s="54" t="s">
        <v>916</v>
      </c>
      <c r="E218" s="54" t="s">
        <v>6</v>
      </c>
      <c r="F218" s="65">
        <v>2</v>
      </c>
      <c r="G218" s="54"/>
    </row>
    <row r="219" spans="2:7" ht="15" customHeight="1" x14ac:dyDescent="0.2">
      <c r="B219" s="54" t="s">
        <v>915</v>
      </c>
      <c r="C219" s="54" t="s">
        <v>882</v>
      </c>
      <c r="D219" s="54" t="s">
        <v>914</v>
      </c>
      <c r="E219" s="54" t="s">
        <v>6</v>
      </c>
      <c r="F219" s="65">
        <v>3</v>
      </c>
      <c r="G219" s="54"/>
    </row>
    <row r="220" spans="2:7" ht="15" customHeight="1" x14ac:dyDescent="0.2">
      <c r="B220" s="54" t="s">
        <v>913</v>
      </c>
      <c r="C220" s="54" t="s">
        <v>910</v>
      </c>
      <c r="D220" s="54" t="s">
        <v>912</v>
      </c>
      <c r="E220" s="54" t="s">
        <v>6</v>
      </c>
      <c r="F220" s="65">
        <v>2</v>
      </c>
      <c r="G220" s="54"/>
    </row>
    <row r="221" spans="2:7" ht="15" customHeight="1" x14ac:dyDescent="0.2">
      <c r="B221" s="54" t="s">
        <v>911</v>
      </c>
      <c r="C221" s="54" t="s">
        <v>910</v>
      </c>
      <c r="D221" s="54" t="s">
        <v>909</v>
      </c>
      <c r="E221" s="54" t="s">
        <v>6</v>
      </c>
      <c r="F221" s="65">
        <v>2</v>
      </c>
      <c r="G221" s="54"/>
    </row>
    <row r="222" spans="2:7" ht="15" customHeight="1" x14ac:dyDescent="0.2">
      <c r="B222" s="54" t="s">
        <v>908</v>
      </c>
      <c r="C222" s="54" t="s">
        <v>882</v>
      </c>
      <c r="D222" s="54" t="s">
        <v>907</v>
      </c>
      <c r="E222" s="54" t="s">
        <v>6</v>
      </c>
      <c r="F222" s="65">
        <v>2</v>
      </c>
      <c r="G222" s="54"/>
    </row>
    <row r="223" spans="2:7" ht="15" customHeight="1" x14ac:dyDescent="0.2">
      <c r="B223" s="54" t="s">
        <v>906</v>
      </c>
      <c r="C223" s="54" t="s">
        <v>882</v>
      </c>
      <c r="D223" s="54" t="s">
        <v>905</v>
      </c>
      <c r="E223" s="54" t="s">
        <v>6</v>
      </c>
      <c r="F223" s="65">
        <v>3</v>
      </c>
      <c r="G223" s="54"/>
    </row>
    <row r="224" spans="2:7" ht="15" customHeight="1" x14ac:dyDescent="0.2">
      <c r="B224" s="54" t="s">
        <v>904</v>
      </c>
      <c r="C224" s="54" t="s">
        <v>903</v>
      </c>
      <c r="D224" s="54" t="s">
        <v>902</v>
      </c>
      <c r="E224" s="54" t="s">
        <v>6</v>
      </c>
      <c r="F224" s="65">
        <v>1</v>
      </c>
      <c r="G224" s="54"/>
    </row>
    <row r="225" spans="2:7" ht="15" customHeight="1" x14ac:dyDescent="0.2">
      <c r="B225" s="54" t="s">
        <v>901</v>
      </c>
      <c r="C225" s="54" t="s">
        <v>879</v>
      </c>
      <c r="D225" s="54" t="s">
        <v>835</v>
      </c>
      <c r="E225" s="54" t="s">
        <v>6</v>
      </c>
      <c r="F225" s="65">
        <v>3</v>
      </c>
      <c r="G225" s="54"/>
    </row>
    <row r="226" spans="2:7" ht="15" customHeight="1" x14ac:dyDescent="0.2">
      <c r="B226" s="54" t="s">
        <v>900</v>
      </c>
      <c r="C226" s="54" t="s">
        <v>891</v>
      </c>
      <c r="D226" s="54" t="s">
        <v>899</v>
      </c>
      <c r="E226" s="54" t="s">
        <v>6</v>
      </c>
      <c r="F226" s="65">
        <v>16</v>
      </c>
      <c r="G226" s="54"/>
    </row>
    <row r="227" spans="2:7" ht="15" customHeight="1" x14ac:dyDescent="0.2">
      <c r="B227" s="54" t="s">
        <v>898</v>
      </c>
      <c r="C227" s="54" t="s">
        <v>891</v>
      </c>
      <c r="D227" s="54" t="s">
        <v>897</v>
      </c>
      <c r="E227" s="54" t="s">
        <v>6</v>
      </c>
      <c r="F227" s="65">
        <v>8</v>
      </c>
      <c r="G227" s="54"/>
    </row>
    <row r="228" spans="2:7" ht="15" customHeight="1" x14ac:dyDescent="0.2">
      <c r="B228" s="54" t="s">
        <v>896</v>
      </c>
      <c r="C228" s="54" t="s">
        <v>891</v>
      </c>
      <c r="D228" s="54" t="s">
        <v>895</v>
      </c>
      <c r="E228" s="54" t="s">
        <v>6</v>
      </c>
      <c r="F228" s="65">
        <v>1</v>
      </c>
      <c r="G228" s="54"/>
    </row>
    <row r="229" spans="2:7" ht="15" customHeight="1" x14ac:dyDescent="0.2">
      <c r="B229" s="54" t="s">
        <v>894</v>
      </c>
      <c r="C229" s="54" t="s">
        <v>891</v>
      </c>
      <c r="D229" s="54" t="s">
        <v>893</v>
      </c>
      <c r="E229" s="54" t="s">
        <v>6</v>
      </c>
      <c r="F229" s="65">
        <v>1</v>
      </c>
      <c r="G229" s="54"/>
    </row>
    <row r="230" spans="2:7" ht="15" customHeight="1" x14ac:dyDescent="0.2">
      <c r="B230" s="54" t="s">
        <v>892</v>
      </c>
      <c r="C230" s="54" t="s">
        <v>891</v>
      </c>
      <c r="D230" s="54" t="s">
        <v>890</v>
      </c>
      <c r="E230" s="54" t="s">
        <v>6</v>
      </c>
      <c r="F230" s="65">
        <v>1</v>
      </c>
      <c r="G230" s="54"/>
    </row>
    <row r="231" spans="2:7" ht="15" customHeight="1" x14ac:dyDescent="0.2">
      <c r="B231" s="54" t="s">
        <v>889</v>
      </c>
      <c r="C231" s="54" t="s">
        <v>882</v>
      </c>
      <c r="D231" s="54" t="s">
        <v>888</v>
      </c>
      <c r="E231" s="54" t="s">
        <v>6</v>
      </c>
      <c r="F231" s="65">
        <v>1</v>
      </c>
      <c r="G231" s="54"/>
    </row>
    <row r="232" spans="2:7" ht="15" customHeight="1" x14ac:dyDescent="0.2">
      <c r="B232" s="54" t="s">
        <v>887</v>
      </c>
      <c r="C232" s="54" t="s">
        <v>882</v>
      </c>
      <c r="D232" s="54" t="s">
        <v>886</v>
      </c>
      <c r="E232" s="54" t="s">
        <v>6</v>
      </c>
      <c r="F232" s="65">
        <v>1</v>
      </c>
      <c r="G232" s="54"/>
    </row>
    <row r="233" spans="2:7" ht="15" customHeight="1" x14ac:dyDescent="0.2">
      <c r="B233" s="54" t="s">
        <v>885</v>
      </c>
      <c r="C233" s="54" t="s">
        <v>882</v>
      </c>
      <c r="D233" s="54" t="s">
        <v>884</v>
      </c>
      <c r="E233" s="54" t="s">
        <v>6</v>
      </c>
      <c r="F233" s="65">
        <v>2</v>
      </c>
      <c r="G233" s="54"/>
    </row>
    <row r="234" spans="2:7" ht="15" customHeight="1" x14ac:dyDescent="0.2">
      <c r="B234" s="54" t="s">
        <v>883</v>
      </c>
      <c r="C234" s="54" t="s">
        <v>882</v>
      </c>
      <c r="D234" s="54" t="s">
        <v>881</v>
      </c>
      <c r="E234" s="54" t="s">
        <v>6</v>
      </c>
      <c r="F234" s="65">
        <v>1</v>
      </c>
      <c r="G234" s="54"/>
    </row>
    <row r="235" spans="2:7" ht="15" customHeight="1" x14ac:dyDescent="0.2">
      <c r="B235" s="54" t="s">
        <v>880</v>
      </c>
      <c r="C235" s="54" t="s">
        <v>879</v>
      </c>
      <c r="D235" s="54" t="s">
        <v>878</v>
      </c>
      <c r="E235" s="54" t="s">
        <v>6</v>
      </c>
      <c r="F235" s="65">
        <v>2</v>
      </c>
      <c r="G235" s="54"/>
    </row>
    <row r="236" spans="2:7" ht="15" customHeight="1" x14ac:dyDescent="0.2">
      <c r="B236" s="54">
        <v>17510</v>
      </c>
      <c r="C236" s="54" t="s">
        <v>875</v>
      </c>
      <c r="D236" s="54" t="s">
        <v>877</v>
      </c>
      <c r="E236" s="54" t="s">
        <v>6</v>
      </c>
      <c r="F236" s="65">
        <v>4</v>
      </c>
      <c r="G236" s="54"/>
    </row>
    <row r="237" spans="2:7" ht="15" customHeight="1" x14ac:dyDescent="0.2">
      <c r="B237" s="54" t="s">
        <v>876</v>
      </c>
      <c r="C237" s="54" t="s">
        <v>875</v>
      </c>
      <c r="D237" s="54" t="s">
        <v>874</v>
      </c>
      <c r="E237" s="54" t="s">
        <v>6</v>
      </c>
      <c r="F237" s="65">
        <v>2</v>
      </c>
      <c r="G237" s="54"/>
    </row>
    <row r="238" spans="2:7" x14ac:dyDescent="0.2">
      <c r="E238" s="4"/>
      <c r="G238" s="4"/>
    </row>
    <row r="239" spans="2:7" x14ac:dyDescent="0.2">
      <c r="E239" s="4"/>
      <c r="G239" s="4"/>
    </row>
    <row r="240" spans="2:7" x14ac:dyDescent="0.2">
      <c r="E240" s="4"/>
      <c r="G240" s="4"/>
    </row>
    <row r="241" spans="5:7" x14ac:dyDescent="0.2">
      <c r="E241" s="4"/>
      <c r="G241" s="4"/>
    </row>
    <row r="242" spans="5:7" x14ac:dyDescent="0.2">
      <c r="E242" s="4"/>
      <c r="G242" s="4"/>
    </row>
    <row r="243" spans="5:7" x14ac:dyDescent="0.2">
      <c r="E243" s="4"/>
      <c r="G243" s="4"/>
    </row>
    <row r="244" spans="5:7" x14ac:dyDescent="0.2">
      <c r="E244" s="4"/>
      <c r="G244" s="4"/>
    </row>
    <row r="245" spans="5:7" x14ac:dyDescent="0.2">
      <c r="E245" s="4"/>
      <c r="G245" s="4"/>
    </row>
    <row r="246" spans="5:7" x14ac:dyDescent="0.2">
      <c r="E246" s="4"/>
      <c r="G246" s="4"/>
    </row>
    <row r="247" spans="5:7" x14ac:dyDescent="0.2">
      <c r="E247" s="4"/>
      <c r="G247" s="4"/>
    </row>
    <row r="248" spans="5:7" x14ac:dyDescent="0.2">
      <c r="E248" s="4"/>
      <c r="G248" s="4"/>
    </row>
    <row r="249" spans="5:7" x14ac:dyDescent="0.2">
      <c r="E249" s="4"/>
      <c r="G249" s="4"/>
    </row>
    <row r="250" spans="5:7" x14ac:dyDescent="0.2">
      <c r="E250" s="4"/>
      <c r="G250" s="4"/>
    </row>
    <row r="251" spans="5:7" x14ac:dyDescent="0.2">
      <c r="E251" s="4"/>
      <c r="G251" s="4"/>
    </row>
    <row r="252" spans="5:7" x14ac:dyDescent="0.2">
      <c r="E252" s="4"/>
      <c r="G252" s="4"/>
    </row>
    <row r="253" spans="5:7" x14ac:dyDescent="0.2">
      <c r="E253" s="4"/>
      <c r="G253" s="4"/>
    </row>
    <row r="254" spans="5:7" x14ac:dyDescent="0.2">
      <c r="E254" s="4"/>
      <c r="G254" s="4"/>
    </row>
  </sheetData>
  <mergeCells count="2">
    <mergeCell ref="B2:G3"/>
    <mergeCell ref="B4:G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Q46"/>
  <sheetViews>
    <sheetView tabSelected="1" zoomScale="80" zoomScaleNormal="80" workbookViewId="0">
      <selection activeCell="U24" sqref="U24"/>
    </sheetView>
  </sheetViews>
  <sheetFormatPr defaultColWidth="10.76171875" defaultRowHeight="15" x14ac:dyDescent="0.2"/>
  <cols>
    <col min="2" max="2" width="2.015625" bestFit="1" customWidth="1"/>
    <col min="10" max="10" width="2.015625" bestFit="1" customWidth="1"/>
    <col min="18" max="18" width="2.015625" bestFit="1" customWidth="1"/>
  </cols>
  <sheetData>
    <row r="1" spans="3:17" x14ac:dyDescent="0.2"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spans="3:17" x14ac:dyDescent="0.2">
      <c r="C2" s="83"/>
      <c r="D2" s="111" t="s">
        <v>1269</v>
      </c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83"/>
    </row>
    <row r="3" spans="3:17" x14ac:dyDescent="0.2">
      <c r="C3" s="83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83"/>
    </row>
    <row r="4" spans="3:17" x14ac:dyDescent="0.2">
      <c r="C4" s="83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83"/>
    </row>
    <row r="5" spans="3:17" x14ac:dyDescent="0.2">
      <c r="C5" s="83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83"/>
    </row>
    <row r="6" spans="3:17" x14ac:dyDescent="0.2"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</row>
    <row r="7" spans="3:17" x14ac:dyDescent="0.2"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</row>
    <row r="8" spans="3:17" x14ac:dyDescent="0.2"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</row>
    <row r="9" spans="3:17" x14ac:dyDescent="0.2"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</row>
    <row r="10" spans="3:17" x14ac:dyDescent="0.2"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</row>
    <row r="11" spans="3:17" x14ac:dyDescent="0.2"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</row>
    <row r="12" spans="3:17" x14ac:dyDescent="0.2"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</row>
    <row r="13" spans="3:17" x14ac:dyDescent="0.2"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</row>
    <row r="14" spans="3:17" x14ac:dyDescent="0.2"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</row>
    <row r="15" spans="3:17" x14ac:dyDescent="0.2"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</row>
    <row r="16" spans="3:17" x14ac:dyDescent="0.2"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</row>
    <row r="17" spans="3:17" x14ac:dyDescent="0.2"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</row>
    <row r="18" spans="3:17" x14ac:dyDescent="0.2"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</row>
    <row r="19" spans="3:17" x14ac:dyDescent="0.2"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</row>
    <row r="20" spans="3:17" x14ac:dyDescent="0.2"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</row>
    <row r="21" spans="3:17" x14ac:dyDescent="0.2"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</row>
    <row r="22" spans="3:17" x14ac:dyDescent="0.2"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</row>
    <row r="23" spans="3:17" x14ac:dyDescent="0.2"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</row>
    <row r="24" spans="3:17" x14ac:dyDescent="0.2"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</row>
    <row r="25" spans="3:17" x14ac:dyDescent="0.2"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</row>
    <row r="26" spans="3:17" x14ac:dyDescent="0.2"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</row>
    <row r="27" spans="3:17" x14ac:dyDescent="0.2"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</row>
    <row r="28" spans="3:17" x14ac:dyDescent="0.2"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</row>
    <row r="29" spans="3:17" x14ac:dyDescent="0.2"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</row>
    <row r="30" spans="3:17" x14ac:dyDescent="0.2"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</row>
    <row r="31" spans="3:17" x14ac:dyDescent="0.2"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</row>
    <row r="32" spans="3:17" x14ac:dyDescent="0.2"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</row>
    <row r="33" spans="3:17" x14ac:dyDescent="0.2"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</row>
    <row r="34" spans="3:17" x14ac:dyDescent="0.2"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</row>
    <row r="35" spans="3:17" x14ac:dyDescent="0.2"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</row>
    <row r="36" spans="3:17" x14ac:dyDescent="0.2"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</row>
    <row r="37" spans="3:17" x14ac:dyDescent="0.2"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</row>
    <row r="38" spans="3:17" x14ac:dyDescent="0.2"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</row>
    <row r="39" spans="3:17" x14ac:dyDescent="0.2"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</row>
    <row r="40" spans="3:17" x14ac:dyDescent="0.2"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</row>
    <row r="41" spans="3:17" x14ac:dyDescent="0.2"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</row>
    <row r="42" spans="3:17" x14ac:dyDescent="0.2"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</row>
    <row r="43" spans="3:17" x14ac:dyDescent="0.2"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</row>
    <row r="44" spans="3:17" x14ac:dyDescent="0.2"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</row>
    <row r="45" spans="3:17" x14ac:dyDescent="0.2"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</row>
    <row r="46" spans="3:17" x14ac:dyDescent="0.2"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</row>
  </sheetData>
  <mergeCells count="1">
    <mergeCell ref="D2:P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</vt:lpstr>
      <vt:lpstr>OUT</vt:lpstr>
      <vt:lpstr>Hoja5</vt:lpstr>
      <vt:lpstr>REP</vt:lpstr>
      <vt:lpstr>INV.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2023-01-02T22:30:49Z</dcterms:created>
  <dcterms:modified xsi:type="dcterms:W3CDTF">2023-11-01T23:57:39Z</dcterms:modified>
</cp:coreProperties>
</file>